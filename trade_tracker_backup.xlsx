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8" yWindow="2100" windowWidth="17280" windowHeight="8880" tabRatio="600" firstSheet="0" activeTab="0" autoFilterDateGrouping="1"/>
  </bookViews>
  <sheets>
    <sheet name="Trade Log" sheetId="1" state="visible" r:id="rId1"/>
    <sheet name="Dashboard" sheetId="2" state="visible" r:id="rId2"/>
    <sheet name="Current Posi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\$#,##0.00"/>
    <numFmt numFmtId="166" formatCode="0.0%"/>
    <numFmt numFmtId="167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tabSelected="1" workbookViewId="0">
      <selection activeCell="A1" sqref="A1"/>
    </sheetView>
  </sheetViews>
  <sheetFormatPr baseColWidth="8" defaultRowHeight="14.4"/>
  <cols>
    <col width="8" customWidth="1" min="1" max="1"/>
    <col width="12" customWidth="1" min="2" max="3"/>
    <col width="8" customWidth="1" min="4" max="6"/>
    <col width="12" customWidth="1" min="7" max="11"/>
    <col width="10" customWidth="1" min="12" max="12"/>
    <col width="12" customWidth="1" min="13" max="13"/>
    <col width="10" customWidth="1" min="14" max="14"/>
  </cols>
  <sheetData>
    <row r="1">
      <c r="A1" s="1" t="inlineStr">
        <is>
          <t>Trade #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Symbol</t>
        </is>
      </c>
      <c r="E1" s="1" t="inlineStr">
        <is>
          <t>Action</t>
        </is>
      </c>
      <c r="F1" s="1" t="inlineStr">
        <is>
          <t>Shares</t>
        </is>
      </c>
      <c r="G1" s="1" t="inlineStr">
        <is>
          <t>Entry Price</t>
        </is>
      </c>
      <c r="H1" s="1" t="inlineStr">
        <is>
          <t>Exit Price</t>
        </is>
      </c>
      <c r="I1" s="1" t="inlineStr">
        <is>
          <t>Entry Value</t>
        </is>
      </c>
      <c r="J1" s="1" t="inlineStr">
        <is>
          <t>Exit Value</t>
        </is>
      </c>
      <c r="K1" s="1" t="inlineStr">
        <is>
          <t>Gross P&amp;L</t>
        </is>
      </c>
      <c r="L1" s="1" t="inlineStr">
        <is>
          <t>Commission</t>
        </is>
      </c>
      <c r="M1" s="1" t="inlineStr">
        <is>
          <t>Net P&amp;L</t>
        </is>
      </c>
      <c r="N1" s="1" t="inlineStr">
        <is>
          <t>Return %</t>
        </is>
      </c>
    </row>
    <row r="2">
      <c r="A2" t="n">
        <v>1</v>
      </c>
      <c r="B2" s="2" t="n">
        <v>45981</v>
      </c>
      <c r="C2" s="2" t="n">
        <v>45985.51223577547</v>
      </c>
      <c r="D2" t="inlineStr">
        <is>
          <t>BRK.B</t>
        </is>
      </c>
      <c r="E2" t="inlineStr">
        <is>
          <t>LONG</t>
        </is>
      </c>
      <c r="F2" t="n">
        <v>9</v>
      </c>
      <c r="G2" t="n">
        <v>501.26</v>
      </c>
      <c r="H2" t="n">
        <v>504.04</v>
      </c>
      <c r="I2">
        <f>F2*G2</f>
        <v/>
      </c>
      <c r="J2">
        <f>F2*H2</f>
        <v/>
      </c>
      <c r="K2">
        <f>J2-I2</f>
        <v/>
      </c>
      <c r="L2" t="n">
        <v>2</v>
      </c>
      <c r="M2">
        <f>K2-L2</f>
        <v/>
      </c>
      <c r="N2">
        <f>M2/I2</f>
        <v/>
      </c>
    </row>
    <row r="3">
      <c r="A3" t="n">
        <v>2</v>
      </c>
      <c r="B3" s="2" t="n">
        <v>45981</v>
      </c>
      <c r="C3" s="2" t="n">
        <v>45985.51223606482</v>
      </c>
      <c r="D3" t="inlineStr">
        <is>
          <t>TLRY</t>
        </is>
      </c>
      <c r="E3" t="inlineStr">
        <is>
          <t>LONG</t>
        </is>
      </c>
      <c r="F3" t="n">
        <v>5201</v>
      </c>
      <c r="G3" t="n">
        <v>0.962</v>
      </c>
      <c r="H3" t="n">
        <v>0.9059</v>
      </c>
      <c r="I3">
        <f>F3*G3</f>
        <v/>
      </c>
      <c r="J3">
        <f>F3*H3</f>
        <v/>
      </c>
      <c r="K3">
        <f>J3-I3</f>
        <v/>
      </c>
      <c r="L3" t="n">
        <v>2</v>
      </c>
      <c r="M3">
        <f>K3-L3</f>
        <v/>
      </c>
      <c r="N3">
        <f>M3/I3</f>
        <v/>
      </c>
    </row>
    <row r="4">
      <c r="A4" t="n">
        <v>3</v>
      </c>
      <c r="B4" s="2" t="n">
        <v>45981</v>
      </c>
      <c r="C4" s="2" t="n">
        <v>45985.51223618056</v>
      </c>
      <c r="D4" t="inlineStr">
        <is>
          <t>MMC</t>
        </is>
      </c>
      <c r="E4" t="inlineStr">
        <is>
          <t>LONG</t>
        </is>
      </c>
      <c r="F4" t="n">
        <v>28</v>
      </c>
      <c r="G4" t="n">
        <v>177.13</v>
      </c>
      <c r="H4" t="n">
        <v>180.92</v>
      </c>
      <c r="I4">
        <f>F4*G4</f>
        <v/>
      </c>
      <c r="J4">
        <f>F4*H4</f>
        <v/>
      </c>
      <c r="K4">
        <f>J4-I4</f>
        <v/>
      </c>
      <c r="L4" t="n">
        <v>2</v>
      </c>
      <c r="M4">
        <f>K4-L4</f>
        <v/>
      </c>
      <c r="N4">
        <f>M4/I4</f>
        <v/>
      </c>
    </row>
    <row r="5">
      <c r="A5" t="n">
        <v>4</v>
      </c>
      <c r="B5" s="2" t="n">
        <v>45981</v>
      </c>
      <c r="C5" s="2" t="n">
        <v>45985.68674724537</v>
      </c>
      <c r="D5" t="inlineStr">
        <is>
          <t>UPST</t>
        </is>
      </c>
      <c r="E5" t="inlineStr">
        <is>
          <t>LONG</t>
        </is>
      </c>
      <c r="F5" t="n">
        <v>134</v>
      </c>
      <c r="G5" t="n">
        <v>37.27</v>
      </c>
      <c r="H5" t="n">
        <v>39.02</v>
      </c>
      <c r="I5">
        <f>F5*G5</f>
        <v/>
      </c>
      <c r="J5">
        <f>F5*H5</f>
        <v/>
      </c>
      <c r="K5">
        <f>J5-I5</f>
        <v/>
      </c>
      <c r="L5" t="n">
        <v>2</v>
      </c>
      <c r="M5">
        <f>K5-L5</f>
        <v/>
      </c>
      <c r="N5">
        <f>M5/I5</f>
        <v/>
      </c>
    </row>
    <row r="6">
      <c r="A6" t="n">
        <v>5</v>
      </c>
      <c r="B6" s="2" t="n">
        <v>45981</v>
      </c>
      <c r="C6" s="2" t="n">
        <v>45985.68674731482</v>
      </c>
      <c r="D6" t="inlineStr">
        <is>
          <t>ACB</t>
        </is>
      </c>
      <c r="E6" t="inlineStr">
        <is>
          <t>LONG</t>
        </is>
      </c>
      <c r="F6" t="n">
        <v>1163</v>
      </c>
      <c r="G6" t="n">
        <v>4.3</v>
      </c>
      <c r="H6" t="n">
        <v>4.36</v>
      </c>
      <c r="I6">
        <f>F6*G6</f>
        <v/>
      </c>
      <c r="J6">
        <f>F6*H6</f>
        <v/>
      </c>
      <c r="K6">
        <f>J6-I6</f>
        <v/>
      </c>
      <c r="L6" t="n">
        <v>2</v>
      </c>
      <c r="M6">
        <f>K6-L6</f>
        <v/>
      </c>
      <c r="N6">
        <f>M6/I6</f>
        <v/>
      </c>
    </row>
    <row r="7">
      <c r="A7" t="n">
        <v>6</v>
      </c>
      <c r="B7" s="2" t="n">
        <v>45985</v>
      </c>
      <c r="C7" s="2" t="n">
        <v>45985.68674775463</v>
      </c>
      <c r="D7" t="inlineStr">
        <is>
          <t>EMR</t>
        </is>
      </c>
      <c r="E7" t="inlineStr">
        <is>
          <t>LONG</t>
        </is>
      </c>
      <c r="F7" t="n">
        <v>39</v>
      </c>
      <c r="G7" t="n">
        <v>128.22</v>
      </c>
      <c r="H7" t="n">
        <v>128.62</v>
      </c>
      <c r="I7">
        <f>F7*G7</f>
        <v/>
      </c>
      <c r="J7">
        <f>F7*H7</f>
        <v/>
      </c>
      <c r="K7">
        <f>J7-I7</f>
        <v/>
      </c>
      <c r="L7" t="n">
        <v>2</v>
      </c>
      <c r="M7">
        <f>K7-L7</f>
        <v/>
      </c>
      <c r="N7">
        <f>M7/I7</f>
        <v/>
      </c>
    </row>
    <row r="8">
      <c r="A8" t="n">
        <v>7</v>
      </c>
      <c r="B8" s="2" t="n">
        <v>45985</v>
      </c>
      <c r="C8" s="2" t="n">
        <v>45985.68674789352</v>
      </c>
      <c r="D8" t="inlineStr">
        <is>
          <t>MRNA</t>
        </is>
      </c>
      <c r="E8" t="inlineStr">
        <is>
          <t>LONG</t>
        </is>
      </c>
      <c r="F8" t="n">
        <v>210</v>
      </c>
      <c r="G8" t="n">
        <v>23.72</v>
      </c>
      <c r="H8" t="n">
        <v>24.15</v>
      </c>
      <c r="I8">
        <f>F8*G8</f>
        <v/>
      </c>
      <c r="J8">
        <f>F8*H8</f>
        <v/>
      </c>
      <c r="K8">
        <f>J8-I8</f>
        <v/>
      </c>
      <c r="L8" t="n">
        <v>2</v>
      </c>
      <c r="M8">
        <f>K8-L8</f>
        <v/>
      </c>
      <c r="N8">
        <f>M8/I8</f>
        <v/>
      </c>
    </row>
    <row r="9">
      <c r="A9" t="n">
        <v>8</v>
      </c>
      <c r="B9" s="2" t="n">
        <v>45981</v>
      </c>
      <c r="C9" s="2" t="n">
        <v>45985.68677219907</v>
      </c>
      <c r="D9" t="inlineStr">
        <is>
          <t>TGT</t>
        </is>
      </c>
      <c r="E9" t="inlineStr">
        <is>
          <t>LONG</t>
        </is>
      </c>
      <c r="F9" t="n">
        <v>58</v>
      </c>
      <c r="G9" t="n">
        <v>86.08</v>
      </c>
      <c r="H9" t="n">
        <v>84.54000000000001</v>
      </c>
      <c r="I9">
        <f>F9*G9</f>
        <v/>
      </c>
      <c r="J9">
        <f>F9*H9</f>
        <v/>
      </c>
      <c r="K9">
        <f>J9-I9</f>
        <v/>
      </c>
      <c r="L9" t="n">
        <v>2</v>
      </c>
      <c r="M9">
        <f>K9-L9</f>
        <v/>
      </c>
      <c r="N9">
        <f>M9/I9</f>
        <v/>
      </c>
    </row>
    <row r="10">
      <c r="A10" t="n">
        <v>9</v>
      </c>
      <c r="B10" s="2" t="n">
        <v>45981</v>
      </c>
      <c r="C10" s="2" t="n">
        <v>45985.68677280092</v>
      </c>
      <c r="D10" t="inlineStr">
        <is>
          <t>SPOT</t>
        </is>
      </c>
      <c r="E10" t="inlineStr">
        <is>
          <t>LONG</t>
        </is>
      </c>
      <c r="F10" t="n">
        <v>8</v>
      </c>
      <c r="G10" t="n">
        <v>618.53</v>
      </c>
      <c r="H10" t="n">
        <v>584.98</v>
      </c>
      <c r="I10">
        <f>F10*G10</f>
        <v/>
      </c>
      <c r="J10">
        <f>F10*H10</f>
        <v/>
      </c>
      <c r="K10">
        <f>J10-I10</f>
        <v/>
      </c>
      <c r="L10" t="n">
        <v>2</v>
      </c>
      <c r="M10">
        <f>K10-L10</f>
        <v/>
      </c>
      <c r="N10">
        <f>M10/I10</f>
        <v/>
      </c>
    </row>
    <row r="11">
      <c r="A11" t="n">
        <v>10</v>
      </c>
      <c r="B11" s="2" t="n">
        <v>45981</v>
      </c>
      <c r="C11" s="2" t="n">
        <v>45985.68677340278</v>
      </c>
      <c r="D11" t="inlineStr">
        <is>
          <t>DASH</t>
        </is>
      </c>
      <c r="E11" t="inlineStr">
        <is>
          <t>LONG</t>
        </is>
      </c>
      <c r="F11" t="n">
        <v>24</v>
      </c>
      <c r="G11" t="n">
        <v>202.315</v>
      </c>
      <c r="H11" t="n">
        <v>188.08</v>
      </c>
      <c r="I11">
        <f>F11*G11</f>
        <v/>
      </c>
      <c r="J11">
        <f>F11*H11</f>
        <v/>
      </c>
      <c r="K11">
        <f>J11-I11</f>
        <v/>
      </c>
      <c r="L11" t="n">
        <v>2</v>
      </c>
      <c r="M11">
        <f>K11-L11</f>
        <v/>
      </c>
      <c r="N11">
        <f>M11/I11</f>
        <v/>
      </c>
    </row>
    <row r="12">
      <c r="A12" t="n">
        <v>11</v>
      </c>
      <c r="B12" s="2" t="n">
        <v>45981</v>
      </c>
      <c r="C12" s="2" t="n">
        <v>45986.70966049768</v>
      </c>
      <c r="D12" t="inlineStr">
        <is>
          <t>SNDL</t>
        </is>
      </c>
      <c r="E12" t="inlineStr">
        <is>
          <t>LONG</t>
        </is>
      </c>
      <c r="F12" t="n">
        <v>3089</v>
      </c>
      <c r="G12" t="n">
        <v>1.62</v>
      </c>
      <c r="H12" t="n">
        <v>1.74</v>
      </c>
      <c r="I12">
        <f>F12*G12</f>
        <v/>
      </c>
      <c r="J12">
        <f>F12*H12</f>
        <v/>
      </c>
      <c r="K12">
        <f>J12-I12</f>
        <v/>
      </c>
      <c r="L12" t="n">
        <v>2</v>
      </c>
      <c r="M12">
        <f>K12-L12</f>
        <v/>
      </c>
      <c r="N12">
        <f>M12/I12</f>
        <v/>
      </c>
    </row>
    <row r="13">
      <c r="A13" t="n">
        <v>12</v>
      </c>
      <c r="B13" s="2" t="n">
        <v>45985</v>
      </c>
      <c r="C13" s="2" t="n">
        <v>45986.70966074074</v>
      </c>
      <c r="D13" t="inlineStr">
        <is>
          <t>ARKG</t>
        </is>
      </c>
      <c r="E13" t="inlineStr">
        <is>
          <t>LONG</t>
        </is>
      </c>
      <c r="F13" t="n">
        <v>150</v>
      </c>
      <c r="G13" t="n">
        <v>30.39</v>
      </c>
      <c r="H13" t="n">
        <v>31.14</v>
      </c>
      <c r="I13">
        <f>F13*G13</f>
        <v/>
      </c>
      <c r="J13">
        <f>F13*H13</f>
        <v/>
      </c>
      <c r="K13">
        <f>J13-I13</f>
        <v/>
      </c>
      <c r="L13" t="n">
        <v>2</v>
      </c>
      <c r="M13">
        <f>K13-L13</f>
        <v/>
      </c>
      <c r="N13">
        <f>M13/I13</f>
        <v/>
      </c>
    </row>
    <row r="14">
      <c r="A14" t="n">
        <v>13</v>
      </c>
      <c r="B14" s="2" t="n">
        <v>45985</v>
      </c>
      <c r="C14" s="2" t="n">
        <v>45986.70966077546</v>
      </c>
      <c r="D14" t="inlineStr">
        <is>
          <t>VZ</t>
        </is>
      </c>
      <c r="E14" t="inlineStr">
        <is>
          <t>LONG</t>
        </is>
      </c>
      <c r="F14" t="n">
        <v>113</v>
      </c>
      <c r="G14" t="n">
        <v>40.21</v>
      </c>
      <c r="H14" t="n">
        <v>40.59</v>
      </c>
      <c r="I14">
        <f>F14*G14</f>
        <v/>
      </c>
      <c r="J14">
        <f>F14*H14</f>
        <v/>
      </c>
      <c r="K14">
        <f>J14-I14</f>
        <v/>
      </c>
      <c r="L14" t="n">
        <v>2</v>
      </c>
      <c r="M14">
        <f>K14-L14</f>
        <v/>
      </c>
      <c r="N14">
        <f>M14/I14</f>
        <v/>
      </c>
    </row>
    <row r="15">
      <c r="A15" t="n">
        <v>14</v>
      </c>
      <c r="B15" s="2" t="n">
        <v>45986</v>
      </c>
      <c r="C15" s="2" t="n">
        <v>45986.70966081019</v>
      </c>
      <c r="D15" t="inlineStr">
        <is>
          <t>CB</t>
        </is>
      </c>
      <c r="E15" t="inlineStr">
        <is>
          <t>LONG</t>
        </is>
      </c>
      <c r="F15" t="n">
        <v>17</v>
      </c>
      <c r="G15" t="n">
        <v>295.81</v>
      </c>
      <c r="H15" t="n">
        <v>297.77</v>
      </c>
      <c r="I15">
        <f>F15*G15</f>
        <v/>
      </c>
      <c r="J15">
        <f>F15*H15</f>
        <v/>
      </c>
      <c r="K15">
        <f>J15-I15</f>
        <v/>
      </c>
      <c r="L15" t="n">
        <v>2</v>
      </c>
      <c r="M15">
        <f>K15-L15</f>
        <v/>
      </c>
      <c r="N15">
        <f>M15/I15</f>
        <v/>
      </c>
    </row>
    <row r="16">
      <c r="A16" t="n">
        <v>15</v>
      </c>
      <c r="B16" s="2" t="n">
        <v>45985</v>
      </c>
      <c r="C16" s="2" t="n">
        <v>45986.7096687037</v>
      </c>
      <c r="D16" t="inlineStr">
        <is>
          <t>XLU</t>
        </is>
      </c>
      <c r="E16" t="inlineStr">
        <is>
          <t>LONG</t>
        </is>
      </c>
      <c r="F16" t="n">
        <v>51</v>
      </c>
      <c r="G16" t="n">
        <v>89.15000000000001</v>
      </c>
      <c r="H16" t="n">
        <v>88.81</v>
      </c>
      <c r="I16">
        <f>F16*G16</f>
        <v/>
      </c>
      <c r="J16">
        <f>F16*H16</f>
        <v/>
      </c>
      <c r="K16">
        <f>J16-I16</f>
        <v/>
      </c>
      <c r="L16" t="n">
        <v>2</v>
      </c>
      <c r="M16">
        <f>K16-L16</f>
        <v/>
      </c>
      <c r="N16">
        <f>M16/I16</f>
        <v/>
      </c>
    </row>
    <row r="17">
      <c r="A17" t="n">
        <v>16</v>
      </c>
      <c r="B17" s="2" t="n">
        <v>45981</v>
      </c>
      <c r="C17" s="2" t="n">
        <v>45987.69798548611</v>
      </c>
      <c r="D17" t="inlineStr">
        <is>
          <t>VRTX</t>
        </is>
      </c>
      <c r="E17" t="inlineStr">
        <is>
          <t>LONG</t>
        </is>
      </c>
      <c r="F17" t="n">
        <v>11</v>
      </c>
      <c r="G17" t="n">
        <v>421.03</v>
      </c>
      <c r="H17" t="n">
        <v>432.17</v>
      </c>
      <c r="I17">
        <f>F17*G17</f>
        <v/>
      </c>
      <c r="J17">
        <f>F17*H17</f>
        <v/>
      </c>
      <c r="K17">
        <f>J17-I17</f>
        <v/>
      </c>
      <c r="L17" t="n">
        <v>2</v>
      </c>
      <c r="M17">
        <f>K17-L17</f>
        <v/>
      </c>
      <c r="N17">
        <f>M17/I17</f>
        <v/>
      </c>
    </row>
    <row r="18">
      <c r="A18" t="n">
        <v>17</v>
      </c>
      <c r="B18" s="2" t="n">
        <v>45985</v>
      </c>
      <c r="C18" s="2" t="n">
        <v>45987.69798572917</v>
      </c>
      <c r="D18" t="inlineStr">
        <is>
          <t>MAR</t>
        </is>
      </c>
      <c r="E18" t="inlineStr">
        <is>
          <t>LONG</t>
        </is>
      </c>
      <c r="F18" t="n">
        <v>16</v>
      </c>
      <c r="G18" t="n">
        <v>295.84</v>
      </c>
      <c r="H18" t="n">
        <v>304.65</v>
      </c>
      <c r="I18">
        <f>F18*G18</f>
        <v/>
      </c>
      <c r="J18">
        <f>F18*H18</f>
        <v/>
      </c>
      <c r="K18">
        <f>J18-I18</f>
        <v/>
      </c>
      <c r="L18" t="n">
        <v>2</v>
      </c>
      <c r="M18">
        <f>K18-L18</f>
        <v/>
      </c>
      <c r="N18">
        <f>M18/I18</f>
        <v/>
      </c>
    </row>
    <row r="19">
      <c r="A19" t="n">
        <v>18</v>
      </c>
      <c r="B19" s="2" t="n">
        <v>45986</v>
      </c>
      <c r="C19" s="2" t="n">
        <v>45987.69798612269</v>
      </c>
      <c r="D19" t="inlineStr">
        <is>
          <t>CCL</t>
        </is>
      </c>
      <c r="E19" t="inlineStr">
        <is>
          <t>LONG</t>
        </is>
      </c>
      <c r="F19" t="n">
        <v>208</v>
      </c>
      <c r="G19" t="n">
        <v>24.76</v>
      </c>
      <c r="H19" t="n">
        <v>25.43</v>
      </c>
      <c r="I19">
        <f>F19*G19</f>
        <v/>
      </c>
      <c r="J19">
        <f>F19*H19</f>
        <v/>
      </c>
      <c r="K19">
        <f>J19-I19</f>
        <v/>
      </c>
      <c r="L19" t="n">
        <v>2</v>
      </c>
      <c r="M19">
        <f>K19-L19</f>
        <v/>
      </c>
      <c r="N19">
        <f>M19/I19</f>
        <v/>
      </c>
    </row>
    <row r="20">
      <c r="A20" t="n">
        <v>19</v>
      </c>
      <c r="B20" s="2" t="n">
        <v>45986</v>
      </c>
      <c r="C20" s="2" t="n">
        <v>45987.69801697916</v>
      </c>
      <c r="D20" t="inlineStr">
        <is>
          <t>ADP</t>
        </is>
      </c>
      <c r="E20" t="inlineStr">
        <is>
          <t>LONG</t>
        </is>
      </c>
      <c r="F20" t="n">
        <v>20</v>
      </c>
      <c r="G20" t="n">
        <v>256.31</v>
      </c>
      <c r="H20" t="n">
        <v>254.33</v>
      </c>
      <c r="I20">
        <f>F20*G20</f>
        <v/>
      </c>
      <c r="J20">
        <f>F20*H20</f>
        <v/>
      </c>
      <c r="K20">
        <f>J20-I20</f>
        <v/>
      </c>
      <c r="L20" t="n">
        <v>2</v>
      </c>
      <c r="M20">
        <f>K20-L20</f>
        <v/>
      </c>
      <c r="N20">
        <f>M20/I20</f>
        <v/>
      </c>
    </row>
    <row r="21">
      <c r="A21" t="n">
        <v>20</v>
      </c>
      <c r="B21" s="2" t="n">
        <v>45980</v>
      </c>
      <c r="C21" s="2" t="n">
        <v>45989.44860075232</v>
      </c>
      <c r="D21" t="inlineStr">
        <is>
          <t>MRK</t>
        </is>
      </c>
      <c r="E21" t="inlineStr">
        <is>
          <t>LONG</t>
        </is>
      </c>
      <c r="F21" t="n">
        <v>51</v>
      </c>
      <c r="G21" t="n">
        <v>96.43000000000001</v>
      </c>
      <c r="H21" t="n">
        <v>104.63</v>
      </c>
      <c r="I21">
        <f>F21*G21</f>
        <v/>
      </c>
      <c r="J21">
        <f>F21*H21</f>
        <v/>
      </c>
      <c r="K21">
        <f>J21-I21</f>
        <v/>
      </c>
      <c r="L21" t="n">
        <v>2</v>
      </c>
      <c r="M21">
        <f>K21-L21</f>
        <v/>
      </c>
      <c r="N21">
        <f>M21/I21</f>
        <v/>
      </c>
    </row>
    <row r="22">
      <c r="A22" t="n">
        <v>21</v>
      </c>
      <c r="B22" s="2" t="n">
        <v>45980</v>
      </c>
      <c r="C22" s="2" t="n">
        <v>45989.44860081019</v>
      </c>
      <c r="D22" t="inlineStr">
        <is>
          <t>FCX</t>
        </is>
      </c>
      <c r="E22" t="inlineStr">
        <is>
          <t>LONG</t>
        </is>
      </c>
      <c r="F22" t="n">
        <v>125</v>
      </c>
      <c r="G22" t="n">
        <v>40</v>
      </c>
      <c r="H22" t="n">
        <v>42.15</v>
      </c>
      <c r="I22">
        <f>F22*G22</f>
        <v/>
      </c>
      <c r="J22">
        <f>F22*H22</f>
        <v/>
      </c>
      <c r="K22">
        <f>J22-I22</f>
        <v/>
      </c>
      <c r="L22" t="n">
        <v>2</v>
      </c>
      <c r="M22">
        <f>K22-L22</f>
        <v/>
      </c>
      <c r="N22">
        <f>M22/I22</f>
        <v/>
      </c>
    </row>
    <row r="23">
      <c r="A23" t="n">
        <v>22</v>
      </c>
      <c r="B23" s="2" t="n">
        <v>45981</v>
      </c>
      <c r="C23" s="2" t="n">
        <v>45989.44860086805</v>
      </c>
      <c r="D23" t="inlineStr">
        <is>
          <t>MDT</t>
        </is>
      </c>
      <c r="E23" t="inlineStr">
        <is>
          <t>LONG</t>
        </is>
      </c>
      <c r="F23" t="n">
        <v>49</v>
      </c>
      <c r="G23" t="n">
        <v>100.34</v>
      </c>
      <c r="H23" t="n">
        <v>105.02</v>
      </c>
      <c r="I23">
        <f>F23*G23</f>
        <v/>
      </c>
      <c r="J23">
        <f>F23*H23</f>
        <v/>
      </c>
      <c r="K23">
        <f>J23-I23</f>
        <v/>
      </c>
      <c r="L23" t="n">
        <v>2</v>
      </c>
      <c r="M23">
        <f>K23-L23</f>
        <v/>
      </c>
      <c r="N23">
        <f>M23/I23</f>
        <v/>
      </c>
    </row>
    <row r="24">
      <c r="A24" t="n">
        <v>23</v>
      </c>
      <c r="B24" s="2" t="n">
        <v>45981</v>
      </c>
      <c r="C24" s="2" t="n">
        <v>45989.44860091435</v>
      </c>
      <c r="D24" t="inlineStr">
        <is>
          <t>ABT</t>
        </is>
      </c>
      <c r="E24" t="inlineStr">
        <is>
          <t>LONG</t>
        </is>
      </c>
      <c r="F24" t="n">
        <v>39</v>
      </c>
      <c r="G24" t="n">
        <v>126.15</v>
      </c>
      <c r="H24" t="n">
        <v>128.54</v>
      </c>
      <c r="I24">
        <f>F24*G24</f>
        <v/>
      </c>
      <c r="J24">
        <f>F24*H24</f>
        <v/>
      </c>
      <c r="K24">
        <f>J24-I24</f>
        <v/>
      </c>
      <c r="L24" t="n">
        <v>2</v>
      </c>
      <c r="M24">
        <f>K24-L24</f>
        <v/>
      </c>
      <c r="N24">
        <f>M24/I24</f>
        <v/>
      </c>
    </row>
    <row r="25">
      <c r="A25" t="n">
        <v>24</v>
      </c>
      <c r="B25" s="2" t="n">
        <v>45981</v>
      </c>
      <c r="C25" s="2" t="n">
        <v>45989.44860096065</v>
      </c>
      <c r="D25" t="inlineStr">
        <is>
          <t>REGN</t>
        </is>
      </c>
      <c r="E25" t="inlineStr">
        <is>
          <t>LONG</t>
        </is>
      </c>
      <c r="F25" t="n">
        <v>7</v>
      </c>
      <c r="G25" t="n">
        <v>702.75</v>
      </c>
      <c r="H25" t="n">
        <v>784.61</v>
      </c>
      <c r="I25">
        <f>F25*G25</f>
        <v/>
      </c>
      <c r="J25">
        <f>F25*H25</f>
        <v/>
      </c>
      <c r="K25">
        <f>J25-I25</f>
        <v/>
      </c>
      <c r="L25" t="n">
        <v>2</v>
      </c>
      <c r="M25">
        <f>K25-L25</f>
        <v/>
      </c>
      <c r="N25">
        <f>M25/I25</f>
        <v/>
      </c>
    </row>
    <row r="26">
      <c r="A26" t="n">
        <v>25</v>
      </c>
      <c r="B26" s="2" t="n">
        <v>45981</v>
      </c>
      <c r="C26" s="2" t="n">
        <v>45989.44860101852</v>
      </c>
      <c r="D26" t="inlineStr">
        <is>
          <t>BND</t>
        </is>
      </c>
      <c r="E26" t="inlineStr">
        <is>
          <t>LONG</t>
        </is>
      </c>
      <c r="F26" t="n">
        <v>67</v>
      </c>
      <c r="G26" t="n">
        <v>74.23</v>
      </c>
      <c r="H26" t="n">
        <v>74.90000000000001</v>
      </c>
      <c r="I26">
        <f>F26*G26</f>
        <v/>
      </c>
      <c r="J26">
        <f>F26*H26</f>
        <v/>
      </c>
      <c r="K26">
        <f>J26-I26</f>
        <v/>
      </c>
      <c r="L26" t="n">
        <v>2</v>
      </c>
      <c r="M26">
        <f>K26-L26</f>
        <v/>
      </c>
      <c r="N26">
        <f>M26/I26</f>
        <v/>
      </c>
    </row>
    <row r="27">
      <c r="A27" t="n">
        <v>26</v>
      </c>
      <c r="B27" s="2" t="n">
        <v>45981</v>
      </c>
      <c r="C27" s="2" t="n">
        <v>45989.44860106482</v>
      </c>
      <c r="D27" t="inlineStr">
        <is>
          <t>ISRG</t>
        </is>
      </c>
      <c r="E27" t="inlineStr">
        <is>
          <t>LONG</t>
        </is>
      </c>
      <c r="F27" t="n">
        <v>8</v>
      </c>
      <c r="G27" t="n">
        <v>564.64</v>
      </c>
      <c r="H27" t="n">
        <v>574.23</v>
      </c>
      <c r="I27">
        <f>F27*G27</f>
        <v/>
      </c>
      <c r="J27">
        <f>F27*H27</f>
        <v/>
      </c>
      <c r="K27">
        <f>J27-I27</f>
        <v/>
      </c>
      <c r="L27" t="n">
        <v>2</v>
      </c>
      <c r="M27">
        <f>K27-L27</f>
        <v/>
      </c>
      <c r="N27">
        <f>M27/I27</f>
        <v/>
      </c>
    </row>
    <row r="28">
      <c r="A28" t="n">
        <v>27</v>
      </c>
      <c r="B28" s="2" t="n">
        <v>45981</v>
      </c>
      <c r="C28" s="2" t="n">
        <v>45989.44860111111</v>
      </c>
      <c r="D28" t="inlineStr">
        <is>
          <t>CGC</t>
        </is>
      </c>
      <c r="E28" t="inlineStr">
        <is>
          <t>LONG</t>
        </is>
      </c>
      <c r="F28" t="n">
        <v>4765</v>
      </c>
      <c r="G28" t="n">
        <v>1.05</v>
      </c>
      <c r="H28" t="n">
        <v>1.21</v>
      </c>
      <c r="I28">
        <f>F28*G28</f>
        <v/>
      </c>
      <c r="J28">
        <f>F28*H28</f>
        <v/>
      </c>
      <c r="K28">
        <f>J28-I28</f>
        <v/>
      </c>
      <c r="L28" t="n">
        <v>2</v>
      </c>
      <c r="M28">
        <f>K28-L28</f>
        <v/>
      </c>
      <c r="N28">
        <f>M28/I28</f>
        <v/>
      </c>
    </row>
    <row r="29">
      <c r="A29" t="n">
        <v>28</v>
      </c>
      <c r="B29" s="2" t="n">
        <v>45985</v>
      </c>
      <c r="C29" s="2" t="n">
        <v>45989.4486011574</v>
      </c>
      <c r="D29" t="inlineStr">
        <is>
          <t>XLV</t>
        </is>
      </c>
      <c r="E29" t="inlineStr">
        <is>
          <t>LONG</t>
        </is>
      </c>
      <c r="F29" t="n">
        <v>32</v>
      </c>
      <c r="G29" t="n">
        <v>154.61</v>
      </c>
      <c r="H29" t="n">
        <v>158.42</v>
      </c>
      <c r="I29">
        <f>F29*G29</f>
        <v/>
      </c>
      <c r="J29">
        <f>F29*H29</f>
        <v/>
      </c>
      <c r="K29">
        <f>J29-I29</f>
        <v/>
      </c>
      <c r="L29" t="n">
        <v>2</v>
      </c>
      <c r="M29">
        <f>K29-L29</f>
        <v/>
      </c>
      <c r="N29">
        <f>M29/I29</f>
        <v/>
      </c>
    </row>
    <row r="30">
      <c r="A30" t="n">
        <v>29</v>
      </c>
      <c r="B30" s="2" t="n">
        <v>45985</v>
      </c>
      <c r="C30" s="2" t="n">
        <v>45989.44860119213</v>
      </c>
      <c r="D30" t="inlineStr">
        <is>
          <t>CRWD</t>
        </is>
      </c>
      <c r="E30" t="inlineStr">
        <is>
          <t>LONG</t>
        </is>
      </c>
      <c r="F30" t="n">
        <v>10</v>
      </c>
      <c r="G30" t="n">
        <v>490.67</v>
      </c>
      <c r="H30" t="n">
        <v>501.54</v>
      </c>
      <c r="I30">
        <f>F30*G30</f>
        <v/>
      </c>
      <c r="J30">
        <f>F30*H30</f>
        <v/>
      </c>
      <c r="K30">
        <f>J30-I30</f>
        <v/>
      </c>
      <c r="L30" t="n">
        <v>2</v>
      </c>
      <c r="M30">
        <f>K30-L30</f>
        <v/>
      </c>
      <c r="N30">
        <f>M30/I30</f>
        <v/>
      </c>
    </row>
    <row r="31">
      <c r="A31" t="n">
        <v>30</v>
      </c>
      <c r="B31" s="2" t="n">
        <v>45985</v>
      </c>
      <c r="C31" s="2" t="n">
        <v>45989.44860123843</v>
      </c>
      <c r="D31" t="inlineStr">
        <is>
          <t>BRK.B</t>
        </is>
      </c>
      <c r="E31" t="inlineStr">
        <is>
          <t>LONG</t>
        </is>
      </c>
      <c r="F31" t="n">
        <v>9</v>
      </c>
      <c r="G31" t="n">
        <v>507.81</v>
      </c>
      <c r="H31" t="n">
        <v>511.23</v>
      </c>
      <c r="I31">
        <f>F31*G31</f>
        <v/>
      </c>
      <c r="J31">
        <f>F31*H31</f>
        <v/>
      </c>
      <c r="K31">
        <f>J31-I31</f>
        <v/>
      </c>
      <c r="L31" t="n">
        <v>2</v>
      </c>
      <c r="M31">
        <f>K31-L31</f>
        <v/>
      </c>
      <c r="N31">
        <f>M31/I31</f>
        <v/>
      </c>
    </row>
    <row r="32">
      <c r="A32" t="n">
        <v>31</v>
      </c>
      <c r="B32" s="2" t="n">
        <v>45985</v>
      </c>
      <c r="C32" s="2" t="n">
        <v>45989.44860128472</v>
      </c>
      <c r="D32" t="inlineStr">
        <is>
          <t>WYNN</t>
        </is>
      </c>
      <c r="E32" t="inlineStr">
        <is>
          <t>LONG</t>
        </is>
      </c>
      <c r="F32" t="n">
        <v>37</v>
      </c>
      <c r="G32" t="n">
        <v>123.24</v>
      </c>
      <c r="H32" t="n">
        <v>129.46</v>
      </c>
      <c r="I32">
        <f>F32*G32</f>
        <v/>
      </c>
      <c r="J32">
        <f>F32*H32</f>
        <v/>
      </c>
      <c r="K32">
        <f>J32-I32</f>
        <v/>
      </c>
      <c r="L32" t="n">
        <v>2</v>
      </c>
      <c r="M32">
        <f>K32-L32</f>
        <v/>
      </c>
      <c r="N32">
        <f>M32/I32</f>
        <v/>
      </c>
    </row>
    <row r="33">
      <c r="A33" t="n">
        <v>32</v>
      </c>
      <c r="B33" s="2" t="n">
        <v>45986</v>
      </c>
      <c r="C33" s="2" t="n">
        <v>45989.44860131945</v>
      </c>
      <c r="D33" t="inlineStr">
        <is>
          <t>XLI</t>
        </is>
      </c>
      <c r="E33" t="inlineStr">
        <is>
          <t>LONG</t>
        </is>
      </c>
      <c r="F33" t="n">
        <v>34</v>
      </c>
      <c r="G33" t="n">
        <v>151.92</v>
      </c>
      <c r="H33" t="n">
        <v>152.8</v>
      </c>
      <c r="I33">
        <f>F33*G33</f>
        <v/>
      </c>
      <c r="J33">
        <f>F33*H33</f>
        <v/>
      </c>
      <c r="K33">
        <f>J33-I33</f>
        <v/>
      </c>
      <c r="L33" t="n">
        <v>2</v>
      </c>
      <c r="M33">
        <f>K33-L33</f>
        <v/>
      </c>
      <c r="N33">
        <f>M33/I33</f>
        <v/>
      </c>
    </row>
    <row r="34">
      <c r="A34" t="n">
        <v>33</v>
      </c>
      <c r="B34" s="2" t="n">
        <v>45986</v>
      </c>
      <c r="C34" s="2" t="n">
        <v>45989.44860136574</v>
      </c>
      <c r="D34" t="inlineStr">
        <is>
          <t>BABA</t>
        </is>
      </c>
      <c r="E34" t="inlineStr">
        <is>
          <t>LONG</t>
        </is>
      </c>
      <c r="F34" t="n">
        <v>32</v>
      </c>
      <c r="G34" t="n">
        <v>157.01</v>
      </c>
      <c r="H34" t="n">
        <v>157.6</v>
      </c>
      <c r="I34">
        <f>F34*G34</f>
        <v/>
      </c>
      <c r="J34">
        <f>F34*H34</f>
        <v/>
      </c>
      <c r="K34">
        <f>J34-I34</f>
        <v/>
      </c>
      <c r="L34" t="n">
        <v>2</v>
      </c>
      <c r="M34">
        <f>K34-L34</f>
        <v/>
      </c>
      <c r="N34">
        <f>M34/I34</f>
        <v/>
      </c>
    </row>
    <row r="35">
      <c r="A35" t="n">
        <v>34</v>
      </c>
      <c r="B35" s="2" t="n">
        <v>45986</v>
      </c>
      <c r="C35" s="2" t="n">
        <v>45989.44860140047</v>
      </c>
      <c r="D35" t="inlineStr">
        <is>
          <t>ADI</t>
        </is>
      </c>
      <c r="E35" t="inlineStr">
        <is>
          <t>LONG</t>
        </is>
      </c>
      <c r="F35" t="n">
        <v>20</v>
      </c>
      <c r="G35" t="n">
        <v>252.02</v>
      </c>
      <c r="H35" t="n">
        <v>257.92</v>
      </c>
      <c r="I35">
        <f>F35*G35</f>
        <v/>
      </c>
      <c r="J35">
        <f>F35*H35</f>
        <v/>
      </c>
      <c r="K35">
        <f>J35-I35</f>
        <v/>
      </c>
      <c r="L35" t="n">
        <v>2</v>
      </c>
      <c r="M35">
        <f>K35-L35</f>
        <v/>
      </c>
      <c r="N35">
        <f>M35/I35</f>
        <v/>
      </c>
    </row>
    <row r="36">
      <c r="A36" t="n">
        <v>35</v>
      </c>
      <c r="B36" s="2" t="n">
        <v>45986</v>
      </c>
      <c r="C36" s="2" t="n">
        <v>45989.44860143519</v>
      </c>
      <c r="D36" t="inlineStr">
        <is>
          <t>DKNG</t>
        </is>
      </c>
      <c r="E36" t="inlineStr">
        <is>
          <t>LONG</t>
        </is>
      </c>
      <c r="F36" t="n">
        <v>163</v>
      </c>
      <c r="G36" t="n">
        <v>31.67</v>
      </c>
      <c r="H36" t="n">
        <v>32.2</v>
      </c>
      <c r="I36">
        <f>F36*G36</f>
        <v/>
      </c>
      <c r="J36">
        <f>F36*H36</f>
        <v/>
      </c>
      <c r="K36">
        <f>J36-I36</f>
        <v/>
      </c>
      <c r="L36" t="n">
        <v>2</v>
      </c>
      <c r="M36">
        <f>K36-L36</f>
        <v/>
      </c>
      <c r="N36">
        <f>M36/I36</f>
        <v/>
      </c>
    </row>
    <row r="37">
      <c r="A37" t="n">
        <v>36</v>
      </c>
      <c r="B37" s="2" t="n">
        <v>45987</v>
      </c>
      <c r="C37" s="2" t="n">
        <v>45989.44860149306</v>
      </c>
      <c r="D37" t="inlineStr">
        <is>
          <t>IEF</t>
        </is>
      </c>
      <c r="E37" t="inlineStr">
        <is>
          <t>LONG</t>
        </is>
      </c>
      <c r="F37" t="n">
        <v>52</v>
      </c>
      <c r="G37" t="n">
        <v>97.67</v>
      </c>
      <c r="H37" t="n">
        <v>97.67</v>
      </c>
      <c r="I37">
        <f>F37*G37</f>
        <v/>
      </c>
      <c r="J37">
        <f>F37*H37</f>
        <v/>
      </c>
      <c r="K37">
        <f>J37-I37</f>
        <v/>
      </c>
      <c r="L37" t="n">
        <v>2</v>
      </c>
      <c r="M37">
        <f>K37-L37</f>
        <v/>
      </c>
      <c r="N37">
        <f>M37/I37</f>
        <v/>
      </c>
    </row>
    <row r="38">
      <c r="A38" t="n">
        <v>37</v>
      </c>
      <c r="B38" s="2" t="n">
        <v>45987</v>
      </c>
      <c r="C38" s="2" t="n">
        <v>45989.44860153935</v>
      </c>
      <c r="D38" t="inlineStr">
        <is>
          <t>TLT</t>
        </is>
      </c>
      <c r="E38" t="inlineStr">
        <is>
          <t>LONG</t>
        </is>
      </c>
      <c r="F38" t="n">
        <v>56</v>
      </c>
      <c r="G38" t="n">
        <v>90.64</v>
      </c>
      <c r="H38" t="n">
        <v>90.64</v>
      </c>
      <c r="I38">
        <f>F38*G38</f>
        <v/>
      </c>
      <c r="J38">
        <f>F38*H38</f>
        <v/>
      </c>
      <c r="K38">
        <f>J38-I38</f>
        <v/>
      </c>
      <c r="L38" t="n">
        <v>2</v>
      </c>
      <c r="M38">
        <f>K38-L38</f>
        <v/>
      </c>
      <c r="N38">
        <f>M38/I38</f>
        <v/>
      </c>
    </row>
    <row r="39">
      <c r="A39" t="n">
        <v>38</v>
      </c>
      <c r="B39" s="2" t="n">
        <v>45987</v>
      </c>
      <c r="C39" s="2" t="n">
        <v>45989.44860157408</v>
      </c>
      <c r="D39" t="inlineStr">
        <is>
          <t>VNQ</t>
        </is>
      </c>
      <c r="E39" t="inlineStr">
        <is>
          <t>LONG</t>
        </is>
      </c>
      <c r="F39" t="n">
        <v>56</v>
      </c>
      <c r="G39" t="n">
        <v>91.04000000000001</v>
      </c>
      <c r="H39" t="n">
        <v>91.04000000000001</v>
      </c>
      <c r="I39">
        <f>F39*G39</f>
        <v/>
      </c>
      <c r="J39">
        <f>F39*H39</f>
        <v/>
      </c>
      <c r="K39">
        <f>J39-I39</f>
        <v/>
      </c>
      <c r="L39" t="n">
        <v>2</v>
      </c>
      <c r="M39">
        <f>K39-L39</f>
        <v/>
      </c>
      <c r="N39">
        <f>M39/I39</f>
        <v/>
      </c>
    </row>
    <row r="40">
      <c r="A40" t="n">
        <v>39</v>
      </c>
      <c r="B40" s="2" t="n">
        <v>45987</v>
      </c>
      <c r="C40" s="2" t="n">
        <v>45989.44860162037</v>
      </c>
      <c r="D40" t="inlineStr">
        <is>
          <t>AGG</t>
        </is>
      </c>
      <c r="E40" t="inlineStr">
        <is>
          <t>LONG</t>
        </is>
      </c>
      <c r="F40" t="n">
        <v>51</v>
      </c>
      <c r="G40" t="n">
        <v>100.96</v>
      </c>
      <c r="H40" t="n">
        <v>100.96</v>
      </c>
      <c r="I40">
        <f>F40*G40</f>
        <v/>
      </c>
      <c r="J40">
        <f>F40*H40</f>
        <v/>
      </c>
      <c r="K40">
        <f>J40-I40</f>
        <v/>
      </c>
      <c r="L40" t="n">
        <v>2</v>
      </c>
      <c r="M40">
        <f>K40-L40</f>
        <v/>
      </c>
      <c r="N40">
        <f>M40/I40</f>
        <v/>
      </c>
    </row>
    <row r="41">
      <c r="A41" t="n">
        <v>40</v>
      </c>
      <c r="B41" s="2" t="n">
        <v>45979</v>
      </c>
      <c r="C41" s="2" t="n">
        <v>45989</v>
      </c>
      <c r="D41" t="inlineStr">
        <is>
          <t>MRK</t>
        </is>
      </c>
      <c r="E41" t="inlineStr">
        <is>
          <t>LONG</t>
        </is>
      </c>
      <c r="F41" t="n">
        <v>48</v>
      </c>
      <c r="G41" t="n">
        <v>95.84</v>
      </c>
      <c r="H41" t="n">
        <v>104.52</v>
      </c>
      <c r="I41">
        <f>F41*G41</f>
        <v/>
      </c>
      <c r="J41">
        <f>F41*H41</f>
        <v/>
      </c>
      <c r="K41">
        <f>J41-I41</f>
        <v/>
      </c>
      <c r="L41" t="n">
        <v>2</v>
      </c>
      <c r="M41">
        <f>K41-L41</f>
        <v/>
      </c>
      <c r="N41">
        <f>M41/I41</f>
        <v/>
      </c>
    </row>
    <row r="42">
      <c r="A42" t="n">
        <v>41</v>
      </c>
      <c r="B42" s="2" t="n">
        <v>45979</v>
      </c>
      <c r="C42" s="2" t="n">
        <v>45989</v>
      </c>
      <c r="D42" t="inlineStr">
        <is>
          <t>FCX</t>
        </is>
      </c>
      <c r="E42" t="inlineStr">
        <is>
          <t>LONG</t>
        </is>
      </c>
      <c r="F42" t="n">
        <v>119</v>
      </c>
      <c r="G42" t="n">
        <v>40.69</v>
      </c>
      <c r="H42" t="n">
        <v>43.195</v>
      </c>
      <c r="I42">
        <f>F42*G42</f>
        <v/>
      </c>
      <c r="J42">
        <f>F42*H42</f>
        <v/>
      </c>
      <c r="K42">
        <f>J42-I42</f>
        <v/>
      </c>
      <c r="L42" t="n">
        <v>2</v>
      </c>
      <c r="M42">
        <f>K42-L42</f>
        <v/>
      </c>
      <c r="N42">
        <f>M42/I42</f>
        <v/>
      </c>
    </row>
    <row r="43">
      <c r="A43" t="n">
        <v>42</v>
      </c>
      <c r="B43" s="2" t="n">
        <v>45980</v>
      </c>
      <c r="C43" s="2" t="n">
        <v>45989</v>
      </c>
      <c r="D43" t="inlineStr">
        <is>
          <t>MDT</t>
        </is>
      </c>
      <c r="E43" t="inlineStr">
        <is>
          <t>LONG</t>
        </is>
      </c>
      <c r="F43" t="n">
        <v>47</v>
      </c>
      <c r="G43" t="n">
        <v>100.07</v>
      </c>
      <c r="H43" t="n">
        <v>104.92</v>
      </c>
      <c r="I43">
        <f>F43*G43</f>
        <v/>
      </c>
      <c r="J43">
        <f>F43*H43</f>
        <v/>
      </c>
      <c r="K43">
        <f>J43-I43</f>
        <v/>
      </c>
      <c r="L43" t="n">
        <v>2</v>
      </c>
      <c r="M43">
        <f>K43-L43</f>
        <v/>
      </c>
      <c r="N43">
        <f>M43/I43</f>
        <v/>
      </c>
    </row>
    <row r="44">
      <c r="A44" t="n">
        <v>43</v>
      </c>
      <c r="B44" s="2" t="n">
        <v>45980</v>
      </c>
      <c r="C44" s="2" t="n">
        <v>45989</v>
      </c>
      <c r="D44" t="inlineStr">
        <is>
          <t>ABT</t>
        </is>
      </c>
      <c r="E44" t="inlineStr">
        <is>
          <t>LONG</t>
        </is>
      </c>
      <c r="F44" t="n">
        <v>38</v>
      </c>
      <c r="G44" t="n">
        <v>126.61</v>
      </c>
      <c r="H44" t="n">
        <v>129.06</v>
      </c>
      <c r="I44">
        <f>F44*G44</f>
        <v/>
      </c>
      <c r="J44">
        <f>F44*H44</f>
        <v/>
      </c>
      <c r="K44">
        <f>J44-I44</f>
        <v/>
      </c>
      <c r="L44" t="n">
        <v>2</v>
      </c>
      <c r="M44">
        <f>K44-L44</f>
        <v/>
      </c>
      <c r="N44">
        <f>M44/I44</f>
        <v/>
      </c>
    </row>
    <row r="45">
      <c r="A45" t="n">
        <v>44</v>
      </c>
      <c r="B45" s="2" t="n">
        <v>45980</v>
      </c>
      <c r="C45" s="2" t="n">
        <v>45989</v>
      </c>
      <c r="D45" t="inlineStr">
        <is>
          <t>REGN</t>
        </is>
      </c>
      <c r="E45" t="inlineStr">
        <is>
          <t>LONG</t>
        </is>
      </c>
      <c r="F45" t="n">
        <v>6</v>
      </c>
      <c r="G45" t="n">
        <v>686.27</v>
      </c>
      <c r="H45" t="n">
        <v>781.87</v>
      </c>
      <c r="I45">
        <f>F45*G45</f>
        <v/>
      </c>
      <c r="J45">
        <f>F45*H45</f>
        <v/>
      </c>
      <c r="K45">
        <f>J45-I45</f>
        <v/>
      </c>
      <c r="L45" t="n">
        <v>2</v>
      </c>
      <c r="M45">
        <f>K45-L45</f>
        <v/>
      </c>
      <c r="N45">
        <f>M45/I45</f>
        <v/>
      </c>
    </row>
    <row r="46">
      <c r="A46" t="n">
        <v>45</v>
      </c>
      <c r="B46" s="2" t="n">
        <v>45980</v>
      </c>
      <c r="C46" s="2" t="n">
        <v>45989</v>
      </c>
      <c r="D46" t="inlineStr">
        <is>
          <t>BND</t>
        </is>
      </c>
      <c r="E46" t="inlineStr">
        <is>
          <t>LONG</t>
        </is>
      </c>
      <c r="F46" t="n">
        <v>67</v>
      </c>
      <c r="G46" t="n">
        <v>74.08</v>
      </c>
      <c r="H46" t="n">
        <v>74.73999999999999</v>
      </c>
      <c r="I46">
        <f>F46*G46</f>
        <v/>
      </c>
      <c r="J46">
        <f>F46*H46</f>
        <v/>
      </c>
      <c r="K46">
        <f>J46-I46</f>
        <v/>
      </c>
      <c r="L46" t="n">
        <v>2</v>
      </c>
      <c r="M46">
        <f>K46-L46</f>
        <v/>
      </c>
      <c r="N46">
        <f>M46/I46</f>
        <v/>
      </c>
    </row>
    <row r="47">
      <c r="A47" t="n">
        <v>46</v>
      </c>
      <c r="B47" s="2" t="n">
        <v>45980</v>
      </c>
      <c r="C47" s="2" t="n">
        <v>45989</v>
      </c>
      <c r="D47" t="inlineStr">
        <is>
          <t>ISRG</t>
        </is>
      </c>
      <c r="E47" t="inlineStr">
        <is>
          <t>LONG</t>
        </is>
      </c>
      <c r="F47" t="n">
        <v>9</v>
      </c>
      <c r="G47" t="n">
        <v>560.87</v>
      </c>
      <c r="H47" t="n">
        <v>569.4</v>
      </c>
      <c r="I47">
        <f>F47*G47</f>
        <v/>
      </c>
      <c r="J47">
        <f>F47*H47</f>
        <v/>
      </c>
      <c r="K47">
        <f>J47-I47</f>
        <v/>
      </c>
      <c r="L47" t="n">
        <v>2</v>
      </c>
      <c r="M47">
        <f>K47-L47</f>
        <v/>
      </c>
      <c r="N47">
        <f>M47/I47</f>
        <v/>
      </c>
    </row>
    <row r="48">
      <c r="A48" t="n">
        <v>47</v>
      </c>
      <c r="B48" s="2" t="n">
        <v>45980</v>
      </c>
      <c r="C48" s="2" t="n">
        <v>45989</v>
      </c>
      <c r="D48" t="inlineStr">
        <is>
          <t>CGC</t>
        </is>
      </c>
      <c r="E48" t="inlineStr">
        <is>
          <t>LONG</t>
        </is>
      </c>
      <c r="F48" t="n">
        <v>4207</v>
      </c>
      <c r="G48" t="n">
        <v>1</v>
      </c>
      <c r="H48" t="n">
        <v>1.185</v>
      </c>
      <c r="I48">
        <f>F48*G48</f>
        <v/>
      </c>
      <c r="J48">
        <f>F48*H48</f>
        <v/>
      </c>
      <c r="K48">
        <f>J48-I48</f>
        <v/>
      </c>
      <c r="L48" t="n">
        <v>2</v>
      </c>
      <c r="M48">
        <f>K48-L48</f>
        <v/>
      </c>
      <c r="N48">
        <f>M48/I48</f>
        <v/>
      </c>
    </row>
    <row r="49">
      <c r="A49" t="n">
        <v>48</v>
      </c>
      <c r="B49" s="2" t="n">
        <v>45983</v>
      </c>
      <c r="C49" s="2" t="n">
        <v>45989</v>
      </c>
      <c r="D49" t="inlineStr">
        <is>
          <t>XLV</t>
        </is>
      </c>
      <c r="E49" t="inlineStr">
        <is>
          <t>LONG</t>
        </is>
      </c>
      <c r="F49" t="n">
        <v>32</v>
      </c>
      <c r="G49" t="n">
        <v>153.56</v>
      </c>
      <c r="H49" t="n">
        <v>157.36</v>
      </c>
      <c r="I49">
        <f>F49*G49</f>
        <v/>
      </c>
      <c r="J49">
        <f>F49*H49</f>
        <v/>
      </c>
      <c r="K49">
        <f>J49-I49</f>
        <v/>
      </c>
      <c r="L49" t="n">
        <v>2</v>
      </c>
      <c r="M49">
        <f>K49-L49</f>
        <v/>
      </c>
      <c r="N49">
        <f>M49/I49</f>
        <v/>
      </c>
    </row>
    <row r="50">
      <c r="A50" t="n">
        <v>49</v>
      </c>
      <c r="B50" s="2" t="n">
        <v>45983</v>
      </c>
      <c r="C50" s="2" t="n">
        <v>45989</v>
      </c>
      <c r="D50" t="inlineStr">
        <is>
          <t>CRWD</t>
        </is>
      </c>
      <c r="E50" t="inlineStr">
        <is>
          <t>LONG</t>
        </is>
      </c>
      <c r="F50" t="n">
        <v>10</v>
      </c>
      <c r="G50" t="n">
        <v>494.95</v>
      </c>
      <c r="H50" t="n">
        <v>505.84</v>
      </c>
      <c r="I50">
        <f>F50*G50</f>
        <v/>
      </c>
      <c r="J50">
        <f>F50*H50</f>
        <v/>
      </c>
      <c r="K50">
        <f>J50-I50</f>
        <v/>
      </c>
      <c r="L50" t="n">
        <v>2</v>
      </c>
      <c r="M50">
        <f>K50-L50</f>
        <v/>
      </c>
      <c r="N50">
        <f>M50/I50</f>
        <v/>
      </c>
    </row>
    <row r="51">
      <c r="A51" t="n">
        <v>50</v>
      </c>
      <c r="B51" s="2" t="n">
        <v>45983</v>
      </c>
      <c r="C51" s="2" t="n">
        <v>45989</v>
      </c>
      <c r="D51" t="inlineStr">
        <is>
          <t>BRK.B</t>
        </is>
      </c>
      <c r="E51" t="inlineStr">
        <is>
          <t>LONG</t>
        </is>
      </c>
      <c r="F51" t="n">
        <v>10</v>
      </c>
      <c r="G51" t="n">
        <v>508.15</v>
      </c>
      <c r="H51" t="n">
        <v>515.71</v>
      </c>
      <c r="I51">
        <f>F51*G51</f>
        <v/>
      </c>
      <c r="J51">
        <f>F51*H51</f>
        <v/>
      </c>
      <c r="K51">
        <f>J51-I51</f>
        <v/>
      </c>
      <c r="L51" t="n">
        <v>2</v>
      </c>
      <c r="M51">
        <f>K51-L51</f>
        <v/>
      </c>
      <c r="N51">
        <f>M51/I51</f>
        <v/>
      </c>
    </row>
    <row r="52">
      <c r="A52" t="n">
        <v>51</v>
      </c>
      <c r="B52" s="2" t="n">
        <v>45983</v>
      </c>
      <c r="C52" s="2" t="n">
        <v>45989</v>
      </c>
      <c r="D52" t="inlineStr">
        <is>
          <t>WYNN</t>
        </is>
      </c>
      <c r="E52" t="inlineStr">
        <is>
          <t>LONG</t>
        </is>
      </c>
      <c r="F52" t="n">
        <v>47</v>
      </c>
      <c r="G52" t="n">
        <v>100.1</v>
      </c>
      <c r="H52" t="n">
        <v>104.99</v>
      </c>
      <c r="I52">
        <f>F52*G52</f>
        <v/>
      </c>
      <c r="J52">
        <f>F52*H52</f>
        <v/>
      </c>
      <c r="K52">
        <f>J52-I52</f>
        <v/>
      </c>
      <c r="L52" t="n">
        <v>2</v>
      </c>
      <c r="M52">
        <f>K52-L52</f>
        <v/>
      </c>
      <c r="N52">
        <f>M52/I52</f>
        <v/>
      </c>
    </row>
    <row r="53">
      <c r="A53" t="n">
        <v>52</v>
      </c>
      <c r="B53" s="2" t="n">
        <v>45986</v>
      </c>
      <c r="C53" s="2" t="n">
        <v>45989</v>
      </c>
      <c r="D53" t="inlineStr">
        <is>
          <t>XLI</t>
        </is>
      </c>
      <c r="E53" t="inlineStr">
        <is>
          <t>LONG</t>
        </is>
      </c>
      <c r="F53" t="n">
        <v>33</v>
      </c>
      <c r="G53" t="n">
        <v>152.78</v>
      </c>
      <c r="H53" t="n">
        <v>153.69</v>
      </c>
      <c r="I53">
        <f>F53*G53</f>
        <v/>
      </c>
      <c r="J53">
        <f>F53*H53</f>
        <v/>
      </c>
      <c r="K53">
        <f>J53-I53</f>
        <v/>
      </c>
      <c r="L53" t="n">
        <v>2</v>
      </c>
      <c r="M53">
        <f>K53-L53</f>
        <v/>
      </c>
      <c r="N53">
        <f>M53/I53</f>
        <v/>
      </c>
    </row>
    <row r="54">
      <c r="A54" t="n">
        <v>53</v>
      </c>
      <c r="B54" s="2" t="n">
        <v>45986</v>
      </c>
      <c r="C54" s="2" t="n">
        <v>45989</v>
      </c>
      <c r="D54" t="inlineStr">
        <is>
          <t>BABA</t>
        </is>
      </c>
      <c r="E54" t="inlineStr">
        <is>
          <t>LONG</t>
        </is>
      </c>
      <c r="F54" t="n">
        <v>32</v>
      </c>
      <c r="G54" t="n">
        <v>156.88</v>
      </c>
      <c r="H54" t="n">
        <v>157.48</v>
      </c>
      <c r="I54">
        <f>F54*G54</f>
        <v/>
      </c>
      <c r="J54">
        <f>F54*H54</f>
        <v/>
      </c>
      <c r="K54">
        <f>J54-I54</f>
        <v/>
      </c>
      <c r="L54" t="n">
        <v>2</v>
      </c>
      <c r="M54">
        <f>K54-L54</f>
        <v/>
      </c>
      <c r="N54">
        <f>M54/I54</f>
        <v/>
      </c>
    </row>
    <row r="55">
      <c r="A55" t="n">
        <v>54</v>
      </c>
      <c r="B55" s="2" t="n">
        <v>45986</v>
      </c>
      <c r="C55" s="2" t="n">
        <v>45989</v>
      </c>
      <c r="D55" t="inlineStr">
        <is>
          <t>ADI</t>
        </is>
      </c>
      <c r="E55" t="inlineStr">
        <is>
          <t>LONG</t>
        </is>
      </c>
      <c r="F55" t="n">
        <v>19</v>
      </c>
      <c r="G55" t="n">
        <v>257.82</v>
      </c>
      <c r="H55" t="n">
        <v>264.04</v>
      </c>
      <c r="I55">
        <f>F55*G55</f>
        <v/>
      </c>
      <c r="J55">
        <f>F55*H55</f>
        <v/>
      </c>
      <c r="K55">
        <f>J55-I55</f>
        <v/>
      </c>
      <c r="L55" t="n">
        <v>2</v>
      </c>
      <c r="M55">
        <f>K55-L55</f>
        <v/>
      </c>
      <c r="N55">
        <f>M55/I55</f>
        <v/>
      </c>
    </row>
    <row r="56">
      <c r="A56" t="n">
        <v>55</v>
      </c>
      <c r="B56" s="2" t="n">
        <v>45986</v>
      </c>
      <c r="C56" s="2" t="n">
        <v>45989</v>
      </c>
      <c r="D56" t="inlineStr">
        <is>
          <t>DKNG</t>
        </is>
      </c>
      <c r="E56" t="inlineStr">
        <is>
          <t>LONG</t>
        </is>
      </c>
      <c r="F56" t="n">
        <v>152</v>
      </c>
      <c r="G56" t="n">
        <v>32.83</v>
      </c>
      <c r="H56" t="n">
        <v>33.39</v>
      </c>
      <c r="I56">
        <f>F56*G56</f>
        <v/>
      </c>
      <c r="J56">
        <f>F56*H56</f>
        <v/>
      </c>
      <c r="K56">
        <f>J56-I56</f>
        <v/>
      </c>
      <c r="L56" t="n">
        <v>2</v>
      </c>
      <c r="M56">
        <f>K56-L56</f>
        <v/>
      </c>
      <c r="N56">
        <f>M56/I56</f>
        <v/>
      </c>
    </row>
    <row r="57">
      <c r="A57" t="n">
        <v>56</v>
      </c>
      <c r="B57" s="2" t="n">
        <v>45987</v>
      </c>
      <c r="C57" s="2" t="n">
        <v>45989</v>
      </c>
      <c r="D57" t="inlineStr">
        <is>
          <t>IEF</t>
        </is>
      </c>
      <c r="E57" t="inlineStr">
        <is>
          <t>LONG</t>
        </is>
      </c>
      <c r="F57" t="n">
        <v>51</v>
      </c>
      <c r="G57" t="n">
        <v>97.45999999999999</v>
      </c>
      <c r="H57" t="n">
        <v>97.455</v>
      </c>
      <c r="I57">
        <f>F57*G57</f>
        <v/>
      </c>
      <c r="J57">
        <f>F57*H57</f>
        <v/>
      </c>
      <c r="K57">
        <f>J57-I57</f>
        <v/>
      </c>
      <c r="L57" t="n">
        <v>2</v>
      </c>
      <c r="M57">
        <f>K57-L57</f>
        <v/>
      </c>
      <c r="N57">
        <f>M57/I57</f>
        <v/>
      </c>
    </row>
    <row r="58">
      <c r="A58" t="n">
        <v>57</v>
      </c>
      <c r="B58" s="2" t="n">
        <v>45987</v>
      </c>
      <c r="C58" s="2" t="n">
        <v>45989</v>
      </c>
      <c r="D58" t="inlineStr">
        <is>
          <t>TLT</t>
        </is>
      </c>
      <c r="E58" t="inlineStr">
        <is>
          <t>LONG</t>
        </is>
      </c>
      <c r="F58" t="n">
        <v>54</v>
      </c>
      <c r="G58" t="n">
        <v>90.64</v>
      </c>
      <c r="H58" t="n">
        <v>90.05500000000001</v>
      </c>
      <c r="I58">
        <f>F58*G58</f>
        <v/>
      </c>
      <c r="J58">
        <f>F58*H58</f>
        <v/>
      </c>
      <c r="K58">
        <f>J58-I58</f>
        <v/>
      </c>
      <c r="L58" t="n">
        <v>2</v>
      </c>
      <c r="M58">
        <f>K58-L58</f>
        <v/>
      </c>
      <c r="N58">
        <f>M58/I58</f>
        <v/>
      </c>
    </row>
    <row r="59">
      <c r="A59" t="n">
        <v>58</v>
      </c>
      <c r="B59" s="2" t="n">
        <v>45987</v>
      </c>
      <c r="C59" s="2" t="n">
        <v>45989</v>
      </c>
      <c r="D59" t="inlineStr">
        <is>
          <t>VNQ</t>
        </is>
      </c>
      <c r="E59" t="inlineStr">
        <is>
          <t>LONG</t>
        </is>
      </c>
      <c r="F59" t="n">
        <v>54</v>
      </c>
      <c r="G59" t="n">
        <v>91.5</v>
      </c>
      <c r="H59" t="n">
        <v>91.495</v>
      </c>
      <c r="I59">
        <f>F59*G59</f>
        <v/>
      </c>
      <c r="J59">
        <f>F59*H59</f>
        <v/>
      </c>
      <c r="K59">
        <f>J59-I59</f>
        <v/>
      </c>
      <c r="L59" t="n">
        <v>2</v>
      </c>
      <c r="M59">
        <f>K59-L59</f>
        <v/>
      </c>
      <c r="N59">
        <f>M59/I59</f>
        <v/>
      </c>
    </row>
    <row r="60">
      <c r="A60" t="n">
        <v>59</v>
      </c>
      <c r="B60" s="2" t="n">
        <v>45987</v>
      </c>
      <c r="C60" s="2" t="n">
        <v>45989</v>
      </c>
      <c r="D60" t="inlineStr">
        <is>
          <t>AGG</t>
        </is>
      </c>
      <c r="E60" t="inlineStr">
        <is>
          <t>LONG</t>
        </is>
      </c>
      <c r="F60" t="n">
        <v>49</v>
      </c>
      <c r="G60" t="n">
        <v>100.76</v>
      </c>
      <c r="H60" t="n">
        <v>100.76</v>
      </c>
      <c r="I60">
        <f>F60*G60</f>
        <v/>
      </c>
      <c r="J60">
        <f>F60*H60</f>
        <v/>
      </c>
      <c r="K60">
        <f>J60-I60</f>
        <v/>
      </c>
      <c r="L60" t="n">
        <v>2</v>
      </c>
      <c r="M60">
        <f>K60-L60</f>
        <v/>
      </c>
      <c r="N60">
        <f>M60/I60</f>
        <v/>
      </c>
    </row>
    <row r="61">
      <c r="B61" s="2" t="n">
        <v>45989</v>
      </c>
      <c r="C61" s="2" t="n">
        <v>46006.54927269676</v>
      </c>
      <c r="D61" t="inlineStr">
        <is>
          <t>MELI</t>
        </is>
      </c>
      <c r="E61" t="inlineStr">
        <is>
          <t>LONG</t>
        </is>
      </c>
      <c r="F61" t="n">
        <v>2</v>
      </c>
      <c r="G61" t="n">
        <v>2033.32</v>
      </c>
      <c r="H61" t="n">
        <v>2015.89</v>
      </c>
      <c r="I61" t="n">
        <v>4066.64</v>
      </c>
      <c r="J61" t="n">
        <v>4031.78</v>
      </c>
      <c r="K61">
        <f>J61-I61</f>
        <v/>
      </c>
      <c r="L61" t="n">
        <v>2</v>
      </c>
      <c r="M61">
        <f>K61-L61</f>
        <v/>
      </c>
      <c r="N61">
        <f>M61/I61</f>
        <v/>
      </c>
      <c r="O61" t="n">
        <v>17</v>
      </c>
      <c r="P61">
        <f>IF(M61&gt;0,"Win","Loss")</f>
        <v/>
      </c>
      <c r="Q61" t="inlineStr">
        <is>
          <t>VPVMA</t>
        </is>
      </c>
      <c r="R61" t="inlineStr">
        <is>
          <t>BULL</t>
        </is>
      </c>
      <c r="S61" t="inlineStr">
        <is>
          <t>Universe Drop</t>
        </is>
      </c>
    </row>
    <row r="62">
      <c r="B62" s="2" t="n">
        <v>45989</v>
      </c>
      <c r="C62" s="2" t="n">
        <v>46006.54927273148</v>
      </c>
      <c r="D62" t="inlineStr">
        <is>
          <t>TLT</t>
        </is>
      </c>
      <c r="E62" t="inlineStr">
        <is>
          <t>LONG</t>
        </is>
      </c>
      <c r="F62" t="n">
        <v>54</v>
      </c>
      <c r="G62" t="n">
        <v>90.64</v>
      </c>
      <c r="H62" t="n">
        <v>87.34</v>
      </c>
      <c r="I62" t="n">
        <v>4894.56</v>
      </c>
      <c r="J62" t="n">
        <v>4716.360000000001</v>
      </c>
      <c r="K62">
        <f>J62-I62</f>
        <v/>
      </c>
      <c r="L62" t="n">
        <v>2</v>
      </c>
      <c r="M62">
        <f>K62-L62</f>
        <v/>
      </c>
      <c r="N62">
        <f>M62/I62</f>
        <v/>
      </c>
      <c r="O62" t="n">
        <v>17</v>
      </c>
      <c r="P62">
        <f>IF(M62&gt;0,"Win","Loss")</f>
        <v/>
      </c>
      <c r="Q62" t="inlineStr">
        <is>
          <t>VPVMA</t>
        </is>
      </c>
      <c r="R62" t="inlineStr">
        <is>
          <t>BULL</t>
        </is>
      </c>
      <c r="S62" t="inlineStr">
        <is>
          <t>Universe Drop</t>
        </is>
      </c>
    </row>
    <row r="63">
      <c r="B63" s="2" t="n">
        <v>46006</v>
      </c>
      <c r="C63" s="2" t="n">
        <v>46007.52812877315</v>
      </c>
      <c r="D63" t="inlineStr">
        <is>
          <t>INTC</t>
        </is>
      </c>
      <c r="E63" t="inlineStr">
        <is>
          <t>LONG</t>
        </is>
      </c>
      <c r="F63" t="n">
        <v>131</v>
      </c>
      <c r="G63" t="n">
        <v>37.81</v>
      </c>
      <c r="H63" t="n">
        <v>37.51</v>
      </c>
      <c r="I63" t="n">
        <v>4953.110000000001</v>
      </c>
      <c r="J63" t="n">
        <v>4913.809999999999</v>
      </c>
      <c r="K63">
        <f>J63-I63</f>
        <v/>
      </c>
      <c r="L63" t="n">
        <v>2</v>
      </c>
      <c r="M63">
        <f>K63-L63</f>
        <v/>
      </c>
      <c r="N63">
        <f>M63/I63</f>
        <v/>
      </c>
      <c r="O63" t="n">
        <v>1</v>
      </c>
      <c r="P63">
        <f>IF(M63&gt;0,"Win","Loss")</f>
        <v/>
      </c>
      <c r="Q63" t="inlineStr">
        <is>
          <t>VPVMA</t>
        </is>
      </c>
      <c r="R63" t="inlineStr">
        <is>
          <t>BULL</t>
        </is>
      </c>
      <c r="S63" t="inlineStr">
        <is>
          <t>Signal</t>
        </is>
      </c>
    </row>
    <row r="64">
      <c r="B64" s="2" t="n">
        <v>46006</v>
      </c>
      <c r="C64" s="2" t="n">
        <v>46007.70356244213</v>
      </c>
      <c r="D64" t="inlineStr">
        <is>
          <t>GE</t>
        </is>
      </c>
      <c r="E64" t="inlineStr">
        <is>
          <t>LONG</t>
        </is>
      </c>
      <c r="F64" t="n">
        <v>16</v>
      </c>
      <c r="G64" t="n">
        <v>299.81</v>
      </c>
      <c r="H64" t="n">
        <v>298.73</v>
      </c>
      <c r="I64" t="n">
        <v>4796.96</v>
      </c>
      <c r="J64" t="n">
        <v>4779.68</v>
      </c>
      <c r="K64">
        <f>J64-I64</f>
        <v/>
      </c>
      <c r="L64" t="n">
        <v>2</v>
      </c>
      <c r="M64">
        <f>K64-L64</f>
        <v/>
      </c>
      <c r="N64">
        <f>M64/I64</f>
        <v/>
      </c>
      <c r="O64" t="n">
        <v>1</v>
      </c>
      <c r="P64">
        <f>IF(M64&gt;0,"Win","Loss")</f>
        <v/>
      </c>
      <c r="Q64" t="inlineStr">
        <is>
          <t>VPVMA</t>
        </is>
      </c>
      <c r="R64" t="inlineStr">
        <is>
          <t>BULL</t>
        </is>
      </c>
      <c r="S64" t="inlineStr">
        <is>
          <t>Signal</t>
        </is>
      </c>
    </row>
    <row r="65">
      <c r="B65" s="2" t="n">
        <v>46006</v>
      </c>
      <c r="C65" s="2" t="n">
        <v>46007.70356267361</v>
      </c>
      <c r="D65" t="inlineStr">
        <is>
          <t>PG</t>
        </is>
      </c>
      <c r="E65" t="inlineStr">
        <is>
          <t>LONG</t>
        </is>
      </c>
      <c r="F65" t="n">
        <v>34</v>
      </c>
      <c r="G65" t="n">
        <v>142.84</v>
      </c>
      <c r="H65" t="n">
        <v>145.21</v>
      </c>
      <c r="I65" t="n">
        <v>4856.56</v>
      </c>
      <c r="J65" t="n">
        <v>4937.14</v>
      </c>
      <c r="K65">
        <f>J65-I65</f>
        <v/>
      </c>
      <c r="L65" t="n">
        <v>2</v>
      </c>
      <c r="M65">
        <f>K65-L65</f>
        <v/>
      </c>
      <c r="N65">
        <f>M65/I65</f>
        <v/>
      </c>
      <c r="O65" t="n">
        <v>1</v>
      </c>
      <c r="P65">
        <f>IF(M65&gt;0,"Win","Loss")</f>
        <v/>
      </c>
      <c r="Q65" t="inlineStr">
        <is>
          <t>VPVMA</t>
        </is>
      </c>
      <c r="R65" t="inlineStr">
        <is>
          <t>BULL</t>
        </is>
      </c>
      <c r="S65" t="inlineStr">
        <is>
          <t>Signal</t>
        </is>
      </c>
    </row>
    <row r="66">
      <c r="B66" s="2" t="n">
        <v>46007</v>
      </c>
      <c r="C66" s="2" t="n">
        <v>46007.70356274305</v>
      </c>
      <c r="D66" t="inlineStr">
        <is>
          <t>NOW</t>
        </is>
      </c>
      <c r="E66" t="inlineStr">
        <is>
          <t>LONG</t>
        </is>
      </c>
      <c r="F66" t="n">
        <v>6</v>
      </c>
      <c r="G66" t="n">
        <v>765.2</v>
      </c>
      <c r="H66" t="n">
        <v>781.12</v>
      </c>
      <c r="I66" t="n">
        <v>4591.200000000001</v>
      </c>
      <c r="J66" t="n">
        <v>4686.72</v>
      </c>
      <c r="K66">
        <f>J66-I66</f>
        <v/>
      </c>
      <c r="L66" t="n">
        <v>2</v>
      </c>
      <c r="M66">
        <f>K66-L66</f>
        <v/>
      </c>
      <c r="N66">
        <f>M66/I66</f>
        <v/>
      </c>
      <c r="O66" t="n">
        <v>0</v>
      </c>
      <c r="P66">
        <f>IF(M66&gt;0,"Win","Loss")</f>
        <v/>
      </c>
      <c r="Q66" t="inlineStr">
        <is>
          <t>VPVMA</t>
        </is>
      </c>
      <c r="R66" t="inlineStr">
        <is>
          <t>BULL</t>
        </is>
      </c>
      <c r="S66" t="inlineStr">
        <is>
          <t>Signal</t>
        </is>
      </c>
    </row>
    <row r="67">
      <c r="B67" s="2" t="n">
        <v>46006</v>
      </c>
      <c r="C67" s="2" t="n">
        <v>46009.41740106481</v>
      </c>
      <c r="D67" t="inlineStr">
        <is>
          <t>KO</t>
        </is>
      </c>
      <c r="E67" t="inlineStr">
        <is>
          <t>LONG</t>
        </is>
      </c>
      <c r="F67" t="n">
        <v>70</v>
      </c>
      <c r="G67" t="n">
        <v>70.52</v>
      </c>
      <c r="H67" t="n">
        <v>70.67</v>
      </c>
      <c r="I67" t="n">
        <v>4936.4</v>
      </c>
      <c r="J67" t="n">
        <v>4946.900000000001</v>
      </c>
      <c r="K67">
        <f>J67-I67</f>
        <v/>
      </c>
      <c r="L67" t="n">
        <v>2</v>
      </c>
      <c r="M67">
        <f>K67-L67</f>
        <v/>
      </c>
      <c r="N67">
        <f>M67/I67</f>
        <v/>
      </c>
      <c r="O67" t="n">
        <v>3</v>
      </c>
      <c r="P67">
        <f>IF(M67&gt;0,"Win","Loss")</f>
        <v/>
      </c>
      <c r="Q67" t="inlineStr">
        <is>
          <t>VPVMA</t>
        </is>
      </c>
      <c r="R67" t="inlineStr">
        <is>
          <t>BULL</t>
        </is>
      </c>
      <c r="S67" t="inlineStr">
        <is>
          <t>Signal</t>
        </is>
      </c>
    </row>
    <row r="68">
      <c r="B68" s="2" t="n">
        <v>46006</v>
      </c>
      <c r="C68" s="2" t="n">
        <v>46013.41988165509</v>
      </c>
      <c r="D68" t="inlineStr">
        <is>
          <t>META</t>
        </is>
      </c>
      <c r="E68" t="inlineStr">
        <is>
          <t>LONG</t>
        </is>
      </c>
      <c r="F68" t="n">
        <v>7</v>
      </c>
      <c r="G68" t="n">
        <v>644.23</v>
      </c>
      <c r="H68" t="n">
        <v>658.77</v>
      </c>
      <c r="I68" t="n">
        <v>4509.610000000001</v>
      </c>
      <c r="J68" t="n">
        <v>4611.389999999999</v>
      </c>
      <c r="K68">
        <f>J68-I68</f>
        <v/>
      </c>
      <c r="L68" t="n">
        <v>2</v>
      </c>
      <c r="M68">
        <f>K68-L68</f>
        <v/>
      </c>
      <c r="N68">
        <f>M68/I68</f>
        <v/>
      </c>
      <c r="O68" t="n">
        <v>7</v>
      </c>
      <c r="P68">
        <f>IF(M68&gt;0,"Win","Loss")</f>
        <v/>
      </c>
      <c r="Q68" t="inlineStr">
        <is>
          <t>VPVMA</t>
        </is>
      </c>
      <c r="R68" t="inlineStr">
        <is>
          <t>BULL</t>
        </is>
      </c>
      <c r="S68" t="inlineStr">
        <is>
          <t>Signal</t>
        </is>
      </c>
    </row>
    <row r="69">
      <c r="B69" s="2" t="n">
        <v>46006</v>
      </c>
      <c r="C69" s="2" t="n">
        <v>46013.41988170139</v>
      </c>
      <c r="D69" t="inlineStr">
        <is>
          <t>COST</t>
        </is>
      </c>
      <c r="E69" t="inlineStr">
        <is>
          <t>LONG</t>
        </is>
      </c>
      <c r="F69" t="n">
        <v>5</v>
      </c>
      <c r="G69" t="n">
        <v>884.47</v>
      </c>
      <c r="H69" t="n">
        <v>855.62</v>
      </c>
      <c r="I69" t="n">
        <v>4422.35</v>
      </c>
      <c r="J69" t="n">
        <v>4278.1</v>
      </c>
      <c r="K69">
        <f>J69-I69</f>
        <v/>
      </c>
      <c r="L69" t="n">
        <v>2</v>
      </c>
      <c r="M69">
        <f>K69-L69</f>
        <v/>
      </c>
      <c r="N69">
        <f>M69/I69</f>
        <v/>
      </c>
      <c r="O69" t="n">
        <v>7</v>
      </c>
      <c r="P69">
        <f>IF(M69&gt;0,"Win","Loss")</f>
        <v/>
      </c>
      <c r="Q69" t="inlineStr">
        <is>
          <t>VPVMA</t>
        </is>
      </c>
      <c r="R69" t="inlineStr">
        <is>
          <t>BULL</t>
        </is>
      </c>
      <c r="S69" t="inlineStr">
        <is>
          <t>Signal</t>
        </is>
      </c>
    </row>
    <row r="70">
      <c r="B70" s="2" t="n">
        <v>46009</v>
      </c>
      <c r="C70" s="2" t="n">
        <v>46013.4198819213</v>
      </c>
      <c r="D70" t="inlineStr">
        <is>
          <t>GE</t>
        </is>
      </c>
      <c r="E70" t="inlineStr">
        <is>
          <t>LONG</t>
        </is>
      </c>
      <c r="F70" t="n">
        <v>17</v>
      </c>
      <c r="G70" t="n">
        <v>292.18</v>
      </c>
      <c r="H70" t="n">
        <v>307.21</v>
      </c>
      <c r="I70" t="n">
        <v>4967.06</v>
      </c>
      <c r="J70" t="n">
        <v>5222.57</v>
      </c>
      <c r="K70">
        <f>J70-I70</f>
        <v/>
      </c>
      <c r="L70" t="n">
        <v>2</v>
      </c>
      <c r="M70">
        <f>K70-L70</f>
        <v/>
      </c>
      <c r="N70">
        <f>M70/I70</f>
        <v/>
      </c>
      <c r="O70" t="n">
        <v>4</v>
      </c>
      <c r="P70">
        <f>IF(M70&gt;0,"Win","Loss")</f>
        <v/>
      </c>
      <c r="Q70" t="inlineStr">
        <is>
          <t>VPVMA</t>
        </is>
      </c>
      <c r="R70" t="inlineStr">
        <is>
          <t>BULL</t>
        </is>
      </c>
      <c r="S70" t="inlineStr">
        <is>
          <t>Signal</t>
        </is>
      </c>
    </row>
    <row r="71">
      <c r="B71" s="2" t="n">
        <v>46006</v>
      </c>
      <c r="C71" s="2" t="n">
        <v>46014.65137239583</v>
      </c>
      <c r="D71" t="inlineStr">
        <is>
          <t>AVGO</t>
        </is>
      </c>
      <c r="E71" t="inlineStr">
        <is>
          <t>LONG</t>
        </is>
      </c>
      <c r="F71" t="n">
        <v>13</v>
      </c>
      <c r="G71" t="n">
        <v>359.93</v>
      </c>
      <c r="H71" t="n">
        <v>341.45</v>
      </c>
      <c r="I71" t="n">
        <v>4679.09</v>
      </c>
      <c r="J71" t="n">
        <v>4438.849999999999</v>
      </c>
      <c r="K71">
        <f>J71-I71</f>
        <v/>
      </c>
      <c r="L71" t="n">
        <v>2</v>
      </c>
      <c r="M71">
        <f>K71-L71</f>
        <v/>
      </c>
      <c r="N71">
        <f>M71/I71</f>
        <v/>
      </c>
      <c r="O71" t="n">
        <v>8</v>
      </c>
      <c r="P71">
        <f>IF(M71&gt;0,"Win","Loss")</f>
        <v/>
      </c>
      <c r="Q71" t="inlineStr">
        <is>
          <t>VPVMA</t>
        </is>
      </c>
      <c r="R71" t="inlineStr">
        <is>
          <t>BULL</t>
        </is>
      </c>
      <c r="S71" t="inlineStr">
        <is>
          <t>Signal</t>
        </is>
      </c>
    </row>
    <row r="72">
      <c r="B72" s="2" t="n">
        <v>46013</v>
      </c>
      <c r="C72" s="2" t="n">
        <v>46014.65137269676</v>
      </c>
      <c r="D72" t="inlineStr">
        <is>
          <t>HD</t>
        </is>
      </c>
      <c r="E72" t="inlineStr">
        <is>
          <t>LONG</t>
        </is>
      </c>
      <c r="F72" t="n">
        <v>14</v>
      </c>
      <c r="G72" t="n">
        <v>345</v>
      </c>
      <c r="H72" t="n">
        <v>346.39</v>
      </c>
      <c r="I72" t="n">
        <v>4830</v>
      </c>
      <c r="J72" t="n">
        <v>4849.46</v>
      </c>
      <c r="K72">
        <f>J72-I72</f>
        <v/>
      </c>
      <c r="L72" t="n">
        <v>2</v>
      </c>
      <c r="M72">
        <f>K72-L72</f>
        <v/>
      </c>
      <c r="N72">
        <f>M72/I72</f>
        <v/>
      </c>
      <c r="O72" t="n">
        <v>1</v>
      </c>
      <c r="P72">
        <f>IF(M72&gt;0,"Win","Loss")</f>
        <v/>
      </c>
      <c r="Q72" t="inlineStr">
        <is>
          <t>VPVMA</t>
        </is>
      </c>
      <c r="R72" t="inlineStr">
        <is>
          <t>BULL</t>
        </is>
      </c>
      <c r="S72" t="inlineStr">
        <is>
          <t>Signal</t>
        </is>
      </c>
    </row>
    <row r="73">
      <c r="B73" s="2" t="n">
        <v>46006</v>
      </c>
      <c r="C73" s="2" t="n">
        <v>46014.99105974537</v>
      </c>
      <c r="D73" t="inlineStr">
        <is>
          <t>MCD</t>
        </is>
      </c>
      <c r="E73" t="inlineStr">
        <is>
          <t>LONG</t>
        </is>
      </c>
      <c r="F73" t="n">
        <v>15</v>
      </c>
      <c r="G73" t="n">
        <v>316.72</v>
      </c>
      <c r="H73" t="n">
        <v>310.84</v>
      </c>
      <c r="I73" t="n">
        <v>4750.8</v>
      </c>
      <c r="J73" t="n">
        <v>4662.599999999999</v>
      </c>
      <c r="K73">
        <f>J73-I73</f>
        <v/>
      </c>
      <c r="L73" t="n">
        <v>2</v>
      </c>
      <c r="M73">
        <f>K73-L73</f>
        <v/>
      </c>
      <c r="N73">
        <f>M73/I73</f>
        <v/>
      </c>
      <c r="O73" t="n">
        <v>8</v>
      </c>
      <c r="P73">
        <f>IF(M73&gt;0,"Win","Loss")</f>
        <v/>
      </c>
      <c r="Q73" t="inlineStr">
        <is>
          <t>VPVMA</t>
        </is>
      </c>
      <c r="R73" t="inlineStr">
        <is>
          <t>BULL</t>
        </is>
      </c>
      <c r="S73" t="inlineStr">
        <is>
          <t>Signal</t>
        </is>
      </c>
    </row>
    <row r="74">
      <c r="B74" s="2" t="n">
        <v>46007</v>
      </c>
      <c r="C74" s="2" t="n">
        <v>46014.99105982639</v>
      </c>
      <c r="D74" t="inlineStr">
        <is>
          <t>BA</t>
        </is>
      </c>
      <c r="E74" t="inlineStr">
        <is>
          <t>LONG</t>
        </is>
      </c>
      <c r="F74" t="n">
        <v>24</v>
      </c>
      <c r="G74" t="n">
        <v>206.71</v>
      </c>
      <c r="H74" t="n">
        <v>216.85</v>
      </c>
      <c r="I74" t="n">
        <v>4961.04</v>
      </c>
      <c r="J74" t="n">
        <v>5204.4</v>
      </c>
      <c r="K74">
        <f>J74-I74</f>
        <v/>
      </c>
      <c r="L74" t="n">
        <v>2</v>
      </c>
      <c r="M74">
        <f>K74-L74</f>
        <v/>
      </c>
      <c r="N74">
        <f>M74/I74</f>
        <v/>
      </c>
      <c r="O74" t="n">
        <v>7</v>
      </c>
      <c r="P74">
        <f>IF(M74&gt;0,"Win","Loss")</f>
        <v/>
      </c>
      <c r="Q74" t="inlineStr">
        <is>
          <t>VPVMA</t>
        </is>
      </c>
      <c r="R74" t="inlineStr">
        <is>
          <t>BULL</t>
        </is>
      </c>
      <c r="S74" t="inlineStr">
        <is>
          <t>Signal</t>
        </is>
      </c>
    </row>
    <row r="75">
      <c r="B75" s="2" t="n">
        <v>46009</v>
      </c>
      <c r="C75" s="2" t="n">
        <v>46014.99105986111</v>
      </c>
      <c r="D75" t="inlineStr">
        <is>
          <t>CAT</t>
        </is>
      </c>
      <c r="E75" t="inlineStr">
        <is>
          <t>LONG</t>
        </is>
      </c>
      <c r="F75" t="n">
        <v>8</v>
      </c>
      <c r="G75" t="n">
        <v>561.89</v>
      </c>
      <c r="H75" t="n">
        <v>582.42</v>
      </c>
      <c r="I75" t="n">
        <v>4495.12</v>
      </c>
      <c r="J75" t="n">
        <v>4659.36</v>
      </c>
      <c r="K75">
        <f>J75-I75</f>
        <v/>
      </c>
      <c r="L75" t="n">
        <v>2</v>
      </c>
      <c r="M75">
        <f>K75-L75</f>
        <v/>
      </c>
      <c r="N75">
        <f>M75/I75</f>
        <v/>
      </c>
      <c r="O75" t="n">
        <v>5</v>
      </c>
      <c r="P75">
        <f>IF(M75&gt;0,"Win","Loss")</f>
        <v/>
      </c>
      <c r="Q75" t="inlineStr">
        <is>
          <t>VPVMA</t>
        </is>
      </c>
      <c r="R75" t="inlineStr">
        <is>
          <t>BULL</t>
        </is>
      </c>
      <c r="S75" t="inlineStr">
        <is>
          <t>Signal</t>
        </is>
      </c>
    </row>
    <row r="76">
      <c r="B76" s="2" t="n">
        <v>46013</v>
      </c>
      <c r="C76" s="2" t="n">
        <v>46014.99105997686</v>
      </c>
      <c r="D76" t="inlineStr">
        <is>
          <t>RTX</t>
        </is>
      </c>
      <c r="E76" t="inlineStr">
        <is>
          <t>LONG</t>
        </is>
      </c>
      <c r="F76" t="n">
        <v>27</v>
      </c>
      <c r="G76" t="n">
        <v>182.01</v>
      </c>
      <c r="H76" t="n">
        <v>185.76</v>
      </c>
      <c r="I76" t="n">
        <v>4914.27</v>
      </c>
      <c r="J76" t="n">
        <v>5015.52</v>
      </c>
      <c r="K76">
        <f>J76-I76</f>
        <v/>
      </c>
      <c r="L76" t="n">
        <v>2</v>
      </c>
      <c r="M76">
        <f>K76-L76</f>
        <v/>
      </c>
      <c r="N76">
        <f>M76/I76</f>
        <v/>
      </c>
      <c r="O76" t="n">
        <v>1</v>
      </c>
      <c r="P76">
        <f>IF(M76&gt;0,"Win","Loss")</f>
        <v/>
      </c>
      <c r="Q76" t="inlineStr">
        <is>
          <t>VPVMA</t>
        </is>
      </c>
      <c r="R76" t="inlineStr">
        <is>
          <t>BULL</t>
        </is>
      </c>
      <c r="S76" t="inlineStr">
        <is>
          <t>Signal</t>
        </is>
      </c>
    </row>
    <row r="77">
      <c r="B77" s="2" t="n">
        <v>46013</v>
      </c>
      <c r="C77" s="2" t="n">
        <v>46014.99106002315</v>
      </c>
      <c r="D77" t="inlineStr">
        <is>
          <t>CRM</t>
        </is>
      </c>
      <c r="E77" t="inlineStr">
        <is>
          <t>LONG</t>
        </is>
      </c>
      <c r="F77" t="n">
        <v>19</v>
      </c>
      <c r="G77" t="n">
        <v>259.91</v>
      </c>
      <c r="H77" t="n">
        <v>263.43</v>
      </c>
      <c r="I77" t="n">
        <v>4938.290000000001</v>
      </c>
      <c r="J77" t="n">
        <v>5005.17</v>
      </c>
      <c r="K77">
        <f>J77-I77</f>
        <v/>
      </c>
      <c r="L77" t="n">
        <v>2</v>
      </c>
      <c r="M77">
        <f>K77-L77</f>
        <v/>
      </c>
      <c r="N77">
        <f>M77/I77</f>
        <v/>
      </c>
      <c r="O77" t="n">
        <v>1</v>
      </c>
      <c r="P77">
        <f>IF(M77&gt;0,"Win","Loss")</f>
        <v/>
      </c>
      <c r="Q77" t="inlineStr">
        <is>
          <t>VPVMA</t>
        </is>
      </c>
      <c r="R77" t="inlineStr">
        <is>
          <t>BULL</t>
        </is>
      </c>
      <c r="S77" t="inlineStr">
        <is>
          <t>Signal</t>
        </is>
      </c>
    </row>
    <row r="78">
      <c r="B78" s="2" t="n">
        <v>46014</v>
      </c>
      <c r="C78" s="2" t="n">
        <v>46014.99106009259</v>
      </c>
      <c r="D78" t="inlineStr">
        <is>
          <t>GE</t>
        </is>
      </c>
      <c r="E78" t="inlineStr">
        <is>
          <t>LONG</t>
        </is>
      </c>
      <c r="F78" t="n">
        <v>15</v>
      </c>
      <c r="G78" t="n">
        <v>314.73</v>
      </c>
      <c r="H78" t="n">
        <v>315.53</v>
      </c>
      <c r="I78" t="n">
        <v>4720.950000000001</v>
      </c>
      <c r="J78" t="n">
        <v>4732.95</v>
      </c>
      <c r="K78">
        <f>J78-I78</f>
        <v/>
      </c>
      <c r="L78" t="n">
        <v>2</v>
      </c>
      <c r="M78">
        <f>K78-L78</f>
        <v/>
      </c>
      <c r="N78">
        <f>M78/I78</f>
        <v/>
      </c>
      <c r="O78" t="n">
        <v>0</v>
      </c>
      <c r="P78">
        <f>IF(M78&gt;0,"Win","Loss")</f>
        <v/>
      </c>
      <c r="Q78" t="inlineStr">
        <is>
          <t>VPVMA</t>
        </is>
      </c>
      <c r="R78" t="inlineStr">
        <is>
          <t>BULL</t>
        </is>
      </c>
      <c r="S78" t="inlineStr">
        <is>
          <t>Signal</t>
        </is>
      </c>
    </row>
    <row r="79">
      <c r="B79" s="9" t="n">
        <v>46007</v>
      </c>
      <c r="C79" s="9" t="n">
        <v>46029.50466393519</v>
      </c>
      <c r="D79" t="inlineStr">
        <is>
          <t>PFE</t>
        </is>
      </c>
      <c r="E79" t="inlineStr">
        <is>
          <t>LONG</t>
        </is>
      </c>
      <c r="F79" t="n">
        <v>195</v>
      </c>
      <c r="G79" t="n">
        <v>25.53</v>
      </c>
      <c r="H79" t="n">
        <v>25.43</v>
      </c>
      <c r="I79" t="n">
        <v>4978.35</v>
      </c>
      <c r="J79" t="n">
        <v>4958.85</v>
      </c>
      <c r="K79">
        <f>J79-I79</f>
        <v/>
      </c>
      <c r="L79" t="n">
        <v>2</v>
      </c>
      <c r="M79">
        <f>K79-L79</f>
        <v/>
      </c>
      <c r="N79">
        <f>M79/I79</f>
        <v/>
      </c>
      <c r="O79" t="n">
        <v>22</v>
      </c>
      <c r="P79">
        <f>IF(M79&gt;0,"Win","Loss")</f>
        <v/>
      </c>
      <c r="Q79" t="inlineStr">
        <is>
          <t>VPVMA</t>
        </is>
      </c>
      <c r="R79" t="inlineStr">
        <is>
          <t>Unknown</t>
        </is>
      </c>
      <c r="S79" t="inlineStr">
        <is>
          <t>Replacement</t>
        </is>
      </c>
    </row>
    <row r="80">
      <c r="B80" s="9" t="n">
        <v>46020</v>
      </c>
      <c r="C80" s="9" t="n">
        <v>46029.504664375</v>
      </c>
      <c r="D80" t="inlineStr">
        <is>
          <t>TMF</t>
        </is>
      </c>
      <c r="E80" t="inlineStr">
        <is>
          <t>LONG</t>
        </is>
      </c>
      <c r="F80" t="n">
        <v>131</v>
      </c>
      <c r="G80" t="n">
        <v>38.07</v>
      </c>
      <c r="H80" t="n">
        <v>37.37</v>
      </c>
      <c r="I80" t="n">
        <v>4987.17</v>
      </c>
      <c r="J80" t="n">
        <v>4895.469999999999</v>
      </c>
      <c r="K80">
        <f>J80-I80</f>
        <v/>
      </c>
      <c r="L80" t="n">
        <v>2</v>
      </c>
      <c r="M80">
        <f>K80-L80</f>
        <v/>
      </c>
      <c r="N80">
        <f>M80/I80</f>
        <v/>
      </c>
      <c r="O80" t="n">
        <v>9</v>
      </c>
      <c r="P80">
        <f>IF(M80&gt;0,"Win","Loss")</f>
        <v/>
      </c>
      <c r="Q80" t="inlineStr">
        <is>
          <t>VPVMA</t>
        </is>
      </c>
      <c r="R80" t="inlineStr">
        <is>
          <t>Unknown</t>
        </is>
      </c>
      <c r="S80" t="inlineStr">
        <is>
          <t>Replacement</t>
        </is>
      </c>
    </row>
    <row r="81">
      <c r="B81" s="9" t="n">
        <v>46027</v>
      </c>
      <c r="C81" s="9" t="n">
        <v>46029.50466471065</v>
      </c>
      <c r="D81" t="inlineStr">
        <is>
          <t>NVDA</t>
        </is>
      </c>
      <c r="E81" t="inlineStr">
        <is>
          <t>LONG</t>
        </is>
      </c>
      <c r="F81" t="n">
        <v>26</v>
      </c>
      <c r="G81" t="n">
        <v>188.85</v>
      </c>
      <c r="H81" t="n">
        <v>187.24</v>
      </c>
      <c r="I81" t="n">
        <v>4910.099999999999</v>
      </c>
      <c r="J81" t="n">
        <v>4868.24</v>
      </c>
      <c r="K81">
        <f>J81-I81</f>
        <v/>
      </c>
      <c r="L81" t="n">
        <v>2</v>
      </c>
      <c r="M81">
        <f>K81-L81</f>
        <v/>
      </c>
      <c r="N81">
        <f>M81/I81</f>
        <v/>
      </c>
      <c r="O81" t="n">
        <v>2</v>
      </c>
      <c r="P81">
        <f>IF(M81&gt;0,"Win","Loss")</f>
        <v/>
      </c>
      <c r="Q81" t="inlineStr">
        <is>
          <t>VPVMA</t>
        </is>
      </c>
      <c r="R81" t="inlineStr">
        <is>
          <t>Unknown</t>
        </is>
      </c>
      <c r="S81" t="inlineStr">
        <is>
          <t>Replacement</t>
        </is>
      </c>
    </row>
    <row r="82">
      <c r="B82" s="9" t="n">
        <v>46027</v>
      </c>
      <c r="C82" s="9" t="n">
        <v>46030.41292541667</v>
      </c>
      <c r="D82" t="inlineStr">
        <is>
          <t>TSLA</t>
        </is>
      </c>
      <c r="E82" t="inlineStr">
        <is>
          <t>LONG</t>
        </is>
      </c>
      <c r="F82" t="n">
        <v>11</v>
      </c>
      <c r="G82" t="n">
        <v>438.07</v>
      </c>
      <c r="H82" t="n">
        <v>431.41</v>
      </c>
      <c r="I82" t="n">
        <v>4818.77</v>
      </c>
      <c r="J82" t="n">
        <v>4745.51</v>
      </c>
      <c r="K82">
        <f>J82-I82</f>
        <v/>
      </c>
      <c r="L82" t="n">
        <v>2</v>
      </c>
      <c r="M82">
        <f>K82-L82</f>
        <v/>
      </c>
      <c r="N82">
        <f>M82/I82</f>
        <v/>
      </c>
      <c r="O82" t="n">
        <v>3</v>
      </c>
      <c r="P82">
        <f>IF(M82&gt;0,"Win","Loss")</f>
        <v/>
      </c>
      <c r="Q82" t="inlineStr">
        <is>
          <t>VPVMA</t>
        </is>
      </c>
      <c r="R82" t="inlineStr">
        <is>
          <t>Unknown</t>
        </is>
      </c>
      <c r="S82" t="inlineStr">
        <is>
          <t>Replacement</t>
        </is>
      </c>
    </row>
    <row r="83">
      <c r="B83" s="9" t="n">
        <v>46029</v>
      </c>
      <c r="C83" s="9" t="n">
        <v>46030.41292575232</v>
      </c>
      <c r="D83" t="inlineStr">
        <is>
          <t>GE</t>
        </is>
      </c>
      <c r="E83" t="inlineStr">
        <is>
          <t>LONG</t>
        </is>
      </c>
      <c r="F83" t="n">
        <v>16</v>
      </c>
      <c r="G83" t="n">
        <v>327.54</v>
      </c>
      <c r="H83" t="n">
        <v>323.64</v>
      </c>
      <c r="I83" t="n">
        <v>5240.64</v>
      </c>
      <c r="J83" t="n">
        <v>5178.24</v>
      </c>
      <c r="K83">
        <f>J83-I83</f>
        <v/>
      </c>
      <c r="L83" t="n">
        <v>2</v>
      </c>
      <c r="M83">
        <f>K83-L83</f>
        <v/>
      </c>
      <c r="N83">
        <f>M83/I83</f>
        <v/>
      </c>
      <c r="O83" t="n">
        <v>1</v>
      </c>
      <c r="P83">
        <f>IF(M83&gt;0,"Win","Loss")</f>
        <v/>
      </c>
      <c r="Q83" t="inlineStr">
        <is>
          <t>VPVMA</t>
        </is>
      </c>
      <c r="R83" t="inlineStr">
        <is>
          <t>Unknown</t>
        </is>
      </c>
      <c r="S83" t="inlineStr">
        <is>
          <t>Replacement</t>
        </is>
      </c>
    </row>
    <row r="84">
      <c r="B84" s="9" t="n">
        <v>46027</v>
      </c>
      <c r="C84" s="9" t="n">
        <v>46030.70556596065</v>
      </c>
      <c r="D84" t="inlineStr">
        <is>
          <t>BA</t>
        </is>
      </c>
      <c r="E84" t="inlineStr">
        <is>
          <t>LONG</t>
        </is>
      </c>
      <c r="F84" t="n">
        <v>22</v>
      </c>
      <c r="G84" t="n">
        <v>227.77</v>
      </c>
      <c r="H84" t="n">
        <v>227.38</v>
      </c>
      <c r="I84" t="n">
        <v>5010.940000000001</v>
      </c>
      <c r="J84" t="n">
        <v>5002.36</v>
      </c>
      <c r="K84">
        <f>J84-I84</f>
        <v/>
      </c>
      <c r="L84" t="n">
        <v>2</v>
      </c>
      <c r="M84">
        <f>K84-L84</f>
        <v/>
      </c>
      <c r="N84">
        <f>M84/I84</f>
        <v/>
      </c>
      <c r="O84" t="n">
        <v>3</v>
      </c>
      <c r="P84">
        <f>IF(M84&gt;0,"Win","Loss")</f>
        <v/>
      </c>
      <c r="Q84" t="inlineStr">
        <is>
          <t>VPVMA</t>
        </is>
      </c>
      <c r="R84" t="inlineStr">
        <is>
          <t>Unknown</t>
        </is>
      </c>
      <c r="S84" t="inlineStr">
        <is>
          <t>Replacement</t>
        </is>
      </c>
    </row>
    <row r="85">
      <c r="B85" s="9" t="n">
        <v>46028</v>
      </c>
      <c r="C85" s="9" t="n">
        <v>46030.70556649305</v>
      </c>
      <c r="D85" t="inlineStr">
        <is>
          <t>FAS</t>
        </is>
      </c>
      <c r="E85" t="inlineStr">
        <is>
          <t>LONG</t>
        </is>
      </c>
      <c r="F85" t="n">
        <v>28</v>
      </c>
      <c r="G85" t="n">
        <v>180.71</v>
      </c>
      <c r="H85" t="n">
        <v>178.5</v>
      </c>
      <c r="I85" t="n">
        <v>5059.88</v>
      </c>
      <c r="J85" t="n">
        <v>4998</v>
      </c>
      <c r="K85">
        <f>J85-I85</f>
        <v/>
      </c>
      <c r="L85" t="n">
        <v>2</v>
      </c>
      <c r="M85">
        <f>K85-L85</f>
        <v/>
      </c>
      <c r="N85">
        <f>M85/I85</f>
        <v/>
      </c>
      <c r="O85" t="n">
        <v>2</v>
      </c>
      <c r="P85">
        <f>IF(M85&gt;0,"Win","Loss")</f>
        <v/>
      </c>
      <c r="Q85" t="inlineStr">
        <is>
          <t>VPVMA</t>
        </is>
      </c>
      <c r="R85" t="inlineStr">
        <is>
          <t>Unknown</t>
        </is>
      </c>
      <c r="S85" t="inlineStr">
        <is>
          <t>Replacement</t>
        </is>
      </c>
    </row>
    <row r="86">
      <c r="B86" s="9" t="n">
        <v>46029</v>
      </c>
      <c r="C86" s="9" t="n">
        <v>46030.70556688657</v>
      </c>
      <c r="D86" t="inlineStr">
        <is>
          <t>SNAP</t>
        </is>
      </c>
      <c r="E86" t="inlineStr">
        <is>
          <t>LONG</t>
        </is>
      </c>
      <c r="F86" t="n">
        <v>623</v>
      </c>
      <c r="G86" t="n">
        <v>8.789999999999999</v>
      </c>
      <c r="H86" t="n">
        <v>8.4</v>
      </c>
      <c r="I86" t="n">
        <v>5476.169999999999</v>
      </c>
      <c r="J86" t="n">
        <v>5233.2</v>
      </c>
      <c r="K86">
        <f>J86-I86</f>
        <v/>
      </c>
      <c r="L86" t="n">
        <v>2</v>
      </c>
      <c r="M86">
        <f>K86-L86</f>
        <v/>
      </c>
      <c r="N86">
        <f>M86/I86</f>
        <v/>
      </c>
      <c r="O86" t="n">
        <v>1</v>
      </c>
      <c r="P86">
        <f>IF(M86&gt;0,"Win","Loss")</f>
        <v/>
      </c>
      <c r="Q86" t="inlineStr">
        <is>
          <t>VPVMA</t>
        </is>
      </c>
      <c r="R86" t="inlineStr">
        <is>
          <t>Unknown</t>
        </is>
      </c>
      <c r="S86" t="inlineStr">
        <is>
          <t>Replacement</t>
        </is>
      </c>
    </row>
    <row r="87">
      <c r="B87" s="9" t="n">
        <v>46030</v>
      </c>
      <c r="C87" s="9" t="n">
        <v>46034.44631540509</v>
      </c>
      <c r="D87" t="inlineStr">
        <is>
          <t>GOOGL</t>
        </is>
      </c>
      <c r="E87" t="inlineStr">
        <is>
          <t>LONG</t>
        </is>
      </c>
      <c r="F87" t="n">
        <v>15</v>
      </c>
      <c r="G87" t="n">
        <v>321.98</v>
      </c>
      <c r="H87" t="n">
        <v>328.57</v>
      </c>
      <c r="I87" t="n">
        <v>4829.700000000001</v>
      </c>
      <c r="J87" t="n">
        <v>4928.55</v>
      </c>
      <c r="K87">
        <f>J87-I87</f>
        <v/>
      </c>
      <c r="L87" t="n">
        <v>2</v>
      </c>
      <c r="M87">
        <f>K87-L87</f>
        <v/>
      </c>
      <c r="N87">
        <f>M87/I87</f>
        <v/>
      </c>
      <c r="O87" t="n">
        <v>4</v>
      </c>
      <c r="P87">
        <f>IF(M87&gt;0,"Win","Loss")</f>
        <v/>
      </c>
      <c r="Q87" t="inlineStr">
        <is>
          <t>VPVMA</t>
        </is>
      </c>
      <c r="R87" t="inlineStr">
        <is>
          <t>BULL</t>
        </is>
      </c>
      <c r="S87" t="inlineStr">
        <is>
          <t>Signal</t>
        </is>
      </c>
    </row>
    <row r="88">
      <c r="B88" s="9" t="n">
        <v>46030</v>
      </c>
      <c r="C88" s="9" t="n">
        <v>46034.44631817129</v>
      </c>
      <c r="D88" t="inlineStr">
        <is>
          <t>MCD</t>
        </is>
      </c>
      <c r="E88" t="inlineStr">
        <is>
          <t>LONG</t>
        </is>
      </c>
      <c r="F88" t="n">
        <v>16</v>
      </c>
      <c r="G88" t="n">
        <v>308.88</v>
      </c>
      <c r="H88" t="n">
        <v>307.32</v>
      </c>
      <c r="I88" t="n">
        <v>4942.08</v>
      </c>
      <c r="J88" t="n">
        <v>4917.12</v>
      </c>
      <c r="K88">
        <f>J88-I88</f>
        <v/>
      </c>
      <c r="L88" t="n">
        <v>2</v>
      </c>
      <c r="M88">
        <f>K88-L88</f>
        <v/>
      </c>
      <c r="N88">
        <f>M88/I88</f>
        <v/>
      </c>
      <c r="O88" t="n">
        <v>4</v>
      </c>
      <c r="P88">
        <f>IF(M88&gt;0,"Win","Loss")</f>
        <v/>
      </c>
      <c r="Q88" t="inlineStr">
        <is>
          <t>VPVMA</t>
        </is>
      </c>
      <c r="R88" t="inlineStr">
        <is>
          <t>Unknown</t>
        </is>
      </c>
      <c r="S88" t="inlineStr">
        <is>
          <t>Replacement</t>
        </is>
      </c>
    </row>
    <row r="89">
      <c r="B89" s="9" t="n">
        <v>46034</v>
      </c>
      <c r="C89" s="9" t="n">
        <v>46036.42871673611</v>
      </c>
      <c r="D89" t="inlineStr">
        <is>
          <t>TMF</t>
        </is>
      </c>
      <c r="E89" t="inlineStr">
        <is>
          <t>LONG</t>
        </is>
      </c>
      <c r="F89" t="n">
        <v>135</v>
      </c>
      <c r="G89" t="n">
        <v>38.14</v>
      </c>
      <c r="H89" t="n">
        <v>37.96</v>
      </c>
      <c r="I89" t="n">
        <v>5148.9</v>
      </c>
      <c r="J89" t="n">
        <v>5124.6</v>
      </c>
      <c r="K89">
        <f>J89-I89</f>
        <v/>
      </c>
      <c r="L89" t="n">
        <v>2</v>
      </c>
      <c r="M89">
        <f>K89-L89</f>
        <v/>
      </c>
      <c r="N89">
        <f>M89/I89</f>
        <v/>
      </c>
      <c r="O89" t="n">
        <v>2</v>
      </c>
      <c r="P89">
        <f>IF(M89&gt;0,"Win","Loss")</f>
        <v/>
      </c>
      <c r="Q89" t="inlineStr">
        <is>
          <t>VPVMA</t>
        </is>
      </c>
      <c r="R89" t="inlineStr">
        <is>
          <t>BULL</t>
        </is>
      </c>
      <c r="S89" t="inlineStr">
        <is>
          <t>Signal</t>
        </is>
      </c>
    </row>
    <row r="90">
      <c r="B90" s="9" t="n">
        <v>46027</v>
      </c>
      <c r="C90" s="9" t="n">
        <v>46036.42871910879</v>
      </c>
      <c r="D90" t="inlineStr">
        <is>
          <t>ADBE</t>
        </is>
      </c>
      <c r="E90" t="inlineStr">
        <is>
          <t>LONG</t>
        </is>
      </c>
      <c r="F90" t="n">
        <v>15</v>
      </c>
      <c r="G90" t="n">
        <v>333.3</v>
      </c>
      <c r="H90" t="n">
        <v>309.93</v>
      </c>
      <c r="I90" t="n">
        <v>4999.5</v>
      </c>
      <c r="J90" t="n">
        <v>4648.95</v>
      </c>
      <c r="K90">
        <f>J90-I90</f>
        <v/>
      </c>
      <c r="L90" t="n">
        <v>2</v>
      </c>
      <c r="M90">
        <f>K90-L90</f>
        <v/>
      </c>
      <c r="N90">
        <f>M90/I90</f>
        <v/>
      </c>
      <c r="O90" t="n">
        <v>9</v>
      </c>
      <c r="P90">
        <f>IF(M90&gt;0,"Win","Loss")</f>
        <v/>
      </c>
      <c r="Q90" t="inlineStr">
        <is>
          <t>VPVMA</t>
        </is>
      </c>
      <c r="R90" t="inlineStr">
        <is>
          <t>Unknown</t>
        </is>
      </c>
      <c r="S90" t="inlineStr">
        <is>
          <t>Replacement</t>
        </is>
      </c>
    </row>
    <row r="91">
      <c r="B91" s="9" t="n">
        <v>46013</v>
      </c>
      <c r="C91" s="9" t="n">
        <v>46042.67494321759</v>
      </c>
      <c r="D91" t="inlineStr">
        <is>
          <t>V</t>
        </is>
      </c>
      <c r="E91" t="inlineStr">
        <is>
          <t>LONG</t>
        </is>
      </c>
      <c r="F91" t="n">
        <v>14</v>
      </c>
      <c r="G91" t="n">
        <v>349.25</v>
      </c>
      <c r="H91" t="n">
        <v>326.86</v>
      </c>
      <c r="I91" t="n">
        <v>4889.5</v>
      </c>
      <c r="J91" t="n">
        <v>4576.04</v>
      </c>
      <c r="K91">
        <f>J91-I91</f>
        <v/>
      </c>
      <c r="L91" t="n">
        <v>2</v>
      </c>
      <c r="M91">
        <f>K91-L91</f>
        <v/>
      </c>
      <c r="N91">
        <f>M91/I91</f>
        <v/>
      </c>
      <c r="O91" t="n">
        <v>29</v>
      </c>
      <c r="P91">
        <f>IF(M91&gt;0,"Win","Loss")</f>
        <v/>
      </c>
      <c r="Q91" t="inlineStr">
        <is>
          <t>VPVMA</t>
        </is>
      </c>
      <c r="R91" t="inlineStr">
        <is>
          <t>Unknown</t>
        </is>
      </c>
      <c r="S91" t="inlineStr">
        <is>
          <t>Replacement</t>
        </is>
      </c>
    </row>
    <row r="92">
      <c r="B92" s="9" t="n">
        <v>46027</v>
      </c>
      <c r="C92" s="9" t="n">
        <v>46043.59419579861</v>
      </c>
      <c r="D92" t="inlineStr">
        <is>
          <t>MSFT</t>
        </is>
      </c>
      <c r="E92" t="inlineStr">
        <is>
          <t>LONG</t>
        </is>
      </c>
      <c r="F92" t="n">
        <v>10</v>
      </c>
      <c r="G92" t="n">
        <v>472.94</v>
      </c>
      <c r="H92" t="n">
        <v>454.08</v>
      </c>
      <c r="I92" t="n">
        <v>4729.4</v>
      </c>
      <c r="J92" t="n">
        <v>4540.8</v>
      </c>
      <c r="K92">
        <f>J92-I92</f>
        <v/>
      </c>
      <c r="L92" t="n">
        <v>2</v>
      </c>
      <c r="M92">
        <f>K92-L92</f>
        <v/>
      </c>
      <c r="N92">
        <f>M92/I92</f>
        <v/>
      </c>
      <c r="O92" t="n">
        <v>16</v>
      </c>
      <c r="P92">
        <f>IF(M92&gt;0,"Win","Loss")</f>
        <v/>
      </c>
      <c r="Q92" t="inlineStr">
        <is>
          <t>VPVMA</t>
        </is>
      </c>
      <c r="R92" t="inlineStr">
        <is>
          <t>Unknown</t>
        </is>
      </c>
      <c r="S92" t="inlineStr">
        <is>
          <t>Replacement</t>
        </is>
      </c>
    </row>
    <row r="93">
      <c r="B93" s="9" t="n">
        <v>46027</v>
      </c>
      <c r="C93" s="9" t="n">
        <v>46044.48535731481</v>
      </c>
      <c r="D93" t="inlineStr">
        <is>
          <t>MA</t>
        </is>
      </c>
      <c r="E93" t="inlineStr">
        <is>
          <t>LONG</t>
        </is>
      </c>
      <c r="F93" t="n">
        <v>8</v>
      </c>
      <c r="G93" t="n">
        <v>563.13</v>
      </c>
      <c r="H93" t="n">
        <v>527.5700000000001</v>
      </c>
      <c r="I93" t="n">
        <v>4505.04</v>
      </c>
      <c r="J93" t="n">
        <v>4220.56</v>
      </c>
      <c r="K93">
        <f>J93-I93</f>
        <v/>
      </c>
      <c r="L93" t="n">
        <v>2</v>
      </c>
      <c r="M93">
        <f>K93-L93</f>
        <v/>
      </c>
      <c r="N93">
        <f>M93/I93</f>
        <v/>
      </c>
      <c r="O93" t="n">
        <v>17</v>
      </c>
      <c r="P93">
        <f>IF(M93&gt;0,"Win","Loss")</f>
        <v/>
      </c>
      <c r="Q93" t="inlineStr">
        <is>
          <t>VPVMA</t>
        </is>
      </c>
      <c r="R93" t="inlineStr">
        <is>
          <t>Unknown</t>
        </is>
      </c>
      <c r="S93" t="inlineStr">
        <is>
          <t>Replacement</t>
        </is>
      </c>
    </row>
    <row r="94">
      <c r="B94" s="9" t="n">
        <v>46028</v>
      </c>
      <c r="C94" s="9" t="n">
        <v>46044.82164671296</v>
      </c>
      <c r="D94" t="inlineStr">
        <is>
          <t>BAC</t>
        </is>
      </c>
      <c r="E94" t="inlineStr">
        <is>
          <t>LONG</t>
        </is>
      </c>
      <c r="F94" t="n">
        <v>89</v>
      </c>
      <c r="G94" t="n">
        <v>56.89</v>
      </c>
      <c r="H94" t="n">
        <v>52.45</v>
      </c>
      <c r="I94" t="n">
        <v>5063.21</v>
      </c>
      <c r="J94" t="n">
        <v>4668.05</v>
      </c>
      <c r="K94">
        <f>J94-I94</f>
        <v/>
      </c>
      <c r="L94" t="n">
        <v>2</v>
      </c>
      <c r="M94">
        <f>K94-L94</f>
        <v/>
      </c>
      <c r="N94">
        <f>M94/I94</f>
        <v/>
      </c>
      <c r="O94" t="n">
        <v>16</v>
      </c>
      <c r="P94">
        <f>IF(M94&gt;0,"Win","Loss")</f>
        <v/>
      </c>
      <c r="Q94" t="inlineStr">
        <is>
          <t>VPVMA</t>
        </is>
      </c>
      <c r="R94" t="inlineStr">
        <is>
          <t>Unknown</t>
        </is>
      </c>
      <c r="S94" t="inlineStr">
        <is>
          <t>Replacement</t>
        </is>
      </c>
    </row>
    <row r="95">
      <c r="B95" s="9" t="n">
        <v>46022</v>
      </c>
      <c r="C95" s="9" t="n">
        <v>46048.58345383102</v>
      </c>
      <c r="D95" t="inlineStr">
        <is>
          <t>HON</t>
        </is>
      </c>
      <c r="E95" t="inlineStr">
        <is>
          <t>LONG</t>
        </is>
      </c>
      <c r="F95" t="n">
        <v>25</v>
      </c>
      <c r="G95" t="n">
        <v>196.36</v>
      </c>
      <c r="H95" t="n">
        <v>221.46</v>
      </c>
      <c r="I95" t="n">
        <v>4909</v>
      </c>
      <c r="J95" t="n">
        <v>5536.5</v>
      </c>
      <c r="K95">
        <f>J95-I95</f>
        <v/>
      </c>
      <c r="L95" t="n">
        <v>2</v>
      </c>
      <c r="M95">
        <f>K95-L95</f>
        <v/>
      </c>
      <c r="N95">
        <f>M95/I95</f>
        <v/>
      </c>
      <c r="O95" t="n">
        <v>26</v>
      </c>
      <c r="P95">
        <f>IF(M95&gt;0,"Win","Loss")</f>
        <v/>
      </c>
      <c r="Q95" t="inlineStr">
        <is>
          <t>VPVMA</t>
        </is>
      </c>
      <c r="R95" t="inlineStr">
        <is>
          <t>BULL</t>
        </is>
      </c>
      <c r="S95" t="inlineStr">
        <is>
          <t>Signal</t>
        </is>
      </c>
    </row>
    <row r="96">
      <c r="B96" s="9" t="n">
        <v>46030</v>
      </c>
      <c r="C96" s="9" t="n">
        <v>46048.58345408564</v>
      </c>
      <c r="D96" t="inlineStr">
        <is>
          <t>PEP</t>
        </is>
      </c>
      <c r="E96" t="inlineStr">
        <is>
          <t>LONG</t>
        </is>
      </c>
      <c r="F96" t="n">
        <v>37</v>
      </c>
      <c r="G96" t="n">
        <v>137.01</v>
      </c>
      <c r="H96" t="n">
        <v>144.58</v>
      </c>
      <c r="I96" t="n">
        <v>5069.37</v>
      </c>
      <c r="J96" t="n">
        <v>5349.46</v>
      </c>
      <c r="K96">
        <f>J96-I96</f>
        <v/>
      </c>
      <c r="L96" t="n">
        <v>2</v>
      </c>
      <c r="M96">
        <f>K96-L96</f>
        <v/>
      </c>
      <c r="N96">
        <f>M96/I96</f>
        <v/>
      </c>
      <c r="O96" t="n">
        <v>18</v>
      </c>
      <c r="P96">
        <f>IF(M96&gt;0,"Win","Loss")</f>
        <v/>
      </c>
      <c r="Q96" t="inlineStr">
        <is>
          <t>VPVMA</t>
        </is>
      </c>
      <c r="R96" t="inlineStr">
        <is>
          <t>BULL</t>
        </is>
      </c>
      <c r="S96" t="inlineStr">
        <is>
          <t>Signal</t>
        </is>
      </c>
    </row>
    <row r="97">
      <c r="B97" s="9" t="n">
        <v>46029</v>
      </c>
      <c r="C97" s="9" t="n">
        <v>46048.58345726852</v>
      </c>
      <c r="D97" t="inlineStr">
        <is>
          <t>ABBV</t>
        </is>
      </c>
      <c r="E97" t="inlineStr">
        <is>
          <t>LONG</t>
        </is>
      </c>
      <c r="F97" t="n">
        <v>24</v>
      </c>
      <c r="G97" t="n">
        <v>223.93</v>
      </c>
      <c r="H97" t="n">
        <v>219.26</v>
      </c>
      <c r="I97" t="n">
        <v>5374.32</v>
      </c>
      <c r="J97" t="n">
        <v>5262.24</v>
      </c>
      <c r="K97">
        <f>J97-I97</f>
        <v/>
      </c>
      <c r="L97" t="n">
        <v>2</v>
      </c>
      <c r="M97">
        <f>K97-L97</f>
        <v/>
      </c>
      <c r="N97">
        <f>M97/I97</f>
        <v/>
      </c>
      <c r="O97" t="n">
        <v>19</v>
      </c>
      <c r="P97">
        <f>IF(M97&gt;0,"Win","Loss")</f>
        <v/>
      </c>
      <c r="Q97" t="inlineStr">
        <is>
          <t>VPVMA</t>
        </is>
      </c>
      <c r="R97" t="inlineStr">
        <is>
          <t>Unknown</t>
        </is>
      </c>
      <c r="S97" t="inlineStr">
        <is>
          <t>Replacement</t>
        </is>
      </c>
    </row>
    <row r="98">
      <c r="B98" s="9" t="n">
        <v>46027</v>
      </c>
      <c r="C98" s="9" t="n">
        <v>46049.49991346065</v>
      </c>
      <c r="D98" t="inlineStr">
        <is>
          <t>SHOP</t>
        </is>
      </c>
      <c r="E98" t="inlineStr">
        <is>
          <t>LONG</t>
        </is>
      </c>
      <c r="F98" t="n">
        <v>31</v>
      </c>
      <c r="G98" t="n">
        <v>157.2</v>
      </c>
      <c r="H98" t="n">
        <v>136.31</v>
      </c>
      <c r="I98" t="n">
        <v>4873.2</v>
      </c>
      <c r="J98" t="n">
        <v>4225.61</v>
      </c>
      <c r="K98">
        <f>J98-I98</f>
        <v/>
      </c>
      <c r="L98" t="n">
        <v>2</v>
      </c>
      <c r="M98">
        <f>K98-L98</f>
        <v/>
      </c>
      <c r="N98">
        <f>M98/I98</f>
        <v/>
      </c>
      <c r="O98" t="n">
        <v>22</v>
      </c>
      <c r="P98">
        <f>IF(M98&gt;0,"Win","Loss")</f>
        <v/>
      </c>
      <c r="Q98" t="inlineStr">
        <is>
          <t>VPVMA</t>
        </is>
      </c>
      <c r="R98" t="inlineStr">
        <is>
          <t>BULL</t>
        </is>
      </c>
      <c r="S98" t="inlineStr">
        <is>
          <t>Signal</t>
        </is>
      </c>
    </row>
    <row r="99">
      <c r="B99" s="9" t="n">
        <v>46030</v>
      </c>
      <c r="C99" s="9" t="n">
        <v>46049.86629372685</v>
      </c>
      <c r="D99" t="inlineStr">
        <is>
          <t>PG</t>
        </is>
      </c>
      <c r="E99" t="inlineStr">
        <is>
          <t>LONG</t>
        </is>
      </c>
      <c r="F99" t="n">
        <v>36</v>
      </c>
      <c r="G99" t="n">
        <v>141.53</v>
      </c>
      <c r="H99" t="n">
        <v>148.34</v>
      </c>
      <c r="I99" t="n">
        <v>5095.08</v>
      </c>
      <c r="J99" t="n">
        <v>5340.24</v>
      </c>
      <c r="K99">
        <f>J99-I99</f>
        <v/>
      </c>
      <c r="L99" t="n">
        <v>2</v>
      </c>
      <c r="M99">
        <f>K99-L99</f>
        <v/>
      </c>
      <c r="N99">
        <f>M99/I99</f>
        <v/>
      </c>
      <c r="O99" t="n">
        <v>19</v>
      </c>
      <c r="P99">
        <f>IF(M99&gt;0,"Win","Loss")</f>
        <v/>
      </c>
      <c r="Q99" t="inlineStr">
        <is>
          <t>VPVMA</t>
        </is>
      </c>
      <c r="R99" t="inlineStr">
        <is>
          <t>BULL</t>
        </is>
      </c>
      <c r="S99" t="inlineStr">
        <is>
          <t>Signal</t>
        </is>
      </c>
    </row>
    <row r="100">
      <c r="B100" s="9" t="n">
        <v>46036</v>
      </c>
      <c r="C100" s="9" t="n">
        <v>46049.86629391204</v>
      </c>
      <c r="D100" t="inlineStr">
        <is>
          <t>JPM</t>
        </is>
      </c>
      <c r="E100" t="inlineStr">
        <is>
          <t>LONG</t>
        </is>
      </c>
      <c r="F100" t="n">
        <v>16</v>
      </c>
      <c r="G100" t="n">
        <v>310.9</v>
      </c>
      <c r="H100" t="n">
        <v>300.31</v>
      </c>
      <c r="I100" t="n">
        <v>4974.4</v>
      </c>
      <c r="J100" t="n">
        <v>4804.96</v>
      </c>
      <c r="K100">
        <f>J100-I100</f>
        <v/>
      </c>
      <c r="L100" t="n">
        <v>2</v>
      </c>
      <c r="M100">
        <f>K100-L100</f>
        <v/>
      </c>
      <c r="N100">
        <f>M100/I100</f>
        <v/>
      </c>
      <c r="O100" t="n">
        <v>13</v>
      </c>
      <c r="P100">
        <f>IF(M100&gt;0,"Win","Loss")</f>
        <v/>
      </c>
      <c r="Q100" t="inlineStr">
        <is>
          <t>VPVMA</t>
        </is>
      </c>
      <c r="R100" t="inlineStr">
        <is>
          <t>BULL</t>
        </is>
      </c>
      <c r="S100" t="inlineStr">
        <is>
          <t>Signal</t>
        </is>
      </c>
    </row>
    <row r="101">
      <c r="B101" s="9" t="n">
        <v>46048</v>
      </c>
      <c r="C101" s="9" t="n">
        <v>46049.86629424769</v>
      </c>
      <c r="D101" t="inlineStr">
        <is>
          <t>MCD</t>
        </is>
      </c>
      <c r="E101" t="inlineStr">
        <is>
          <t>LONG</t>
        </is>
      </c>
      <c r="F101" t="n">
        <v>16</v>
      </c>
      <c r="G101" t="n">
        <v>309.25</v>
      </c>
      <c r="H101" t="n">
        <v>314.13</v>
      </c>
      <c r="I101" t="n">
        <v>4948</v>
      </c>
      <c r="J101" t="n">
        <v>5026.08</v>
      </c>
      <c r="K101">
        <f>J101-I101</f>
        <v/>
      </c>
      <c r="L101" t="n">
        <v>2</v>
      </c>
      <c r="M101">
        <f>K101-L101</f>
        <v/>
      </c>
      <c r="N101">
        <f>M101/I101</f>
        <v/>
      </c>
      <c r="O101" t="n">
        <v>1</v>
      </c>
      <c r="P101">
        <f>IF(M101&gt;0,"Win","Loss")</f>
        <v/>
      </c>
      <c r="Q101" t="inlineStr">
        <is>
          <t>VPVMA</t>
        </is>
      </c>
      <c r="R101" t="inlineStr">
        <is>
          <t>BULL</t>
        </is>
      </c>
      <c r="S101" t="inlineStr">
        <is>
          <t>Signal</t>
        </is>
      </c>
    </row>
    <row r="102">
      <c r="B102" s="9" t="n">
        <v>46027</v>
      </c>
      <c r="C102" s="9" t="n">
        <v>46055.58951326389</v>
      </c>
      <c r="D102" t="inlineStr">
        <is>
          <t>CRM</t>
        </is>
      </c>
      <c r="E102" t="inlineStr">
        <is>
          <t>LONG</t>
        </is>
      </c>
      <c r="F102" t="n">
        <v>19</v>
      </c>
      <c r="G102" t="n">
        <v>253.62</v>
      </c>
      <c r="H102" t="n">
        <v>212.29</v>
      </c>
      <c r="I102" t="n">
        <v>4818.78</v>
      </c>
      <c r="J102" t="n">
        <v>4033.51</v>
      </c>
      <c r="K102">
        <f>J102-I102</f>
        <v/>
      </c>
      <c r="L102" t="n">
        <v>2</v>
      </c>
      <c r="M102">
        <f>K102-L102</f>
        <v/>
      </c>
      <c r="N102">
        <f>M102/I102</f>
        <v/>
      </c>
      <c r="O102" t="n">
        <v>28</v>
      </c>
      <c r="P102">
        <f>IF(M102&gt;0,"Win","Loss")</f>
        <v/>
      </c>
      <c r="Q102" t="inlineStr">
        <is>
          <t>VPVMA</t>
        </is>
      </c>
      <c r="R102" t="inlineStr">
        <is>
          <t>BULL</t>
        </is>
      </c>
      <c r="S102" t="inlineStr">
        <is>
          <t>Signal</t>
        </is>
      </c>
    </row>
    <row r="103">
      <c r="B103" s="9" t="n">
        <v>46049</v>
      </c>
      <c r="C103" s="9" t="n">
        <v>46055.58951383102</v>
      </c>
      <c r="D103" t="inlineStr">
        <is>
          <t>UNH</t>
        </is>
      </c>
      <c r="E103" t="inlineStr">
        <is>
          <t>LONG</t>
        </is>
      </c>
      <c r="F103" t="n">
        <v>18</v>
      </c>
      <c r="G103" t="n">
        <v>282.7</v>
      </c>
      <c r="H103" t="n">
        <v>286.93</v>
      </c>
      <c r="I103" t="n">
        <v>5088.599999999999</v>
      </c>
      <c r="J103" t="n">
        <v>5164.74</v>
      </c>
      <c r="K103">
        <f>J103-I103</f>
        <v/>
      </c>
      <c r="L103" t="n">
        <v>2</v>
      </c>
      <c r="M103">
        <f>K103-L103</f>
        <v/>
      </c>
      <c r="N103">
        <f>M103/I103</f>
        <v/>
      </c>
      <c r="O103" t="n">
        <v>6</v>
      </c>
      <c r="P103">
        <f>IF(M103&gt;0,"Win","Loss")</f>
        <v/>
      </c>
      <c r="Q103" t="inlineStr">
        <is>
          <t>VPVMA</t>
        </is>
      </c>
      <c r="R103" t="inlineStr">
        <is>
          <t>BULL</t>
        </is>
      </c>
      <c r="S103" t="inlineStr">
        <is>
          <t>Signal</t>
        </is>
      </c>
    </row>
    <row r="104">
      <c r="B104" s="9" t="n">
        <v>46049</v>
      </c>
      <c r="C104" s="9" t="n">
        <v>46057.56180165509</v>
      </c>
      <c r="D104" t="inlineStr">
        <is>
          <t>TMF</t>
        </is>
      </c>
      <c r="E104" t="inlineStr">
        <is>
          <t>LONG</t>
        </is>
      </c>
      <c r="F104" t="n">
        <v>140</v>
      </c>
      <c r="G104" t="n">
        <v>37.74</v>
      </c>
      <c r="H104" t="n">
        <v>36.78</v>
      </c>
      <c r="I104" t="n">
        <v>5283.6</v>
      </c>
      <c r="J104" t="n">
        <v>5149.2</v>
      </c>
      <c r="K104">
        <f>J104-I104</f>
        <v/>
      </c>
      <c r="L104" t="n">
        <v>2</v>
      </c>
      <c r="M104">
        <f>K104-L104</f>
        <v/>
      </c>
      <c r="N104">
        <f>M104/I104</f>
        <v/>
      </c>
      <c r="O104" t="n">
        <v>8</v>
      </c>
      <c r="P104">
        <f>IF(M104&gt;0,"Win","Loss")</f>
        <v/>
      </c>
      <c r="Q104" t="inlineStr">
        <is>
          <t>VPVMA</t>
        </is>
      </c>
      <c r="R104" t="inlineStr">
        <is>
          <t>BULL</t>
        </is>
      </c>
      <c r="S104" t="inlineStr">
        <is>
          <t>Signal</t>
        </is>
      </c>
    </row>
    <row r="105">
      <c r="B105" s="9" t="n">
        <v>46049</v>
      </c>
      <c r="C105" s="9" t="n">
        <v>46062.74025270833</v>
      </c>
      <c r="D105" t="inlineStr">
        <is>
          <t>UPS</t>
        </is>
      </c>
      <c r="E105" t="inlineStr">
        <is>
          <t>LONG</t>
        </is>
      </c>
      <c r="F105" t="n">
        <v>49</v>
      </c>
      <c r="G105" t="n">
        <v>107.2</v>
      </c>
      <c r="H105" t="n">
        <v>117.92</v>
      </c>
      <c r="I105" t="n">
        <v>5252.8</v>
      </c>
      <c r="J105" t="n">
        <v>5778.08</v>
      </c>
      <c r="K105">
        <f>J105-I105</f>
        <v/>
      </c>
      <c r="L105" t="n">
        <v>2</v>
      </c>
      <c r="M105">
        <f>K105-L105</f>
        <v/>
      </c>
      <c r="N105">
        <f>M105/I105</f>
        <v/>
      </c>
      <c r="O105" t="n">
        <v>13</v>
      </c>
      <c r="P105">
        <f>IF(M105&gt;0,"Win","Loss")</f>
        <v/>
      </c>
      <c r="Q105" t="inlineStr">
        <is>
          <t>VPVMA</t>
        </is>
      </c>
      <c r="R105" t="inlineStr">
        <is>
          <t>BULL</t>
        </is>
      </c>
      <c r="S105" t="inlineStr">
        <is>
          <t>Signal</t>
        </is>
      </c>
    </row>
    <row r="106">
      <c r="B106" s="9" t="n">
        <v>46055</v>
      </c>
      <c r="C106" s="9" t="n">
        <v>46063.97759986111</v>
      </c>
      <c r="D106" t="inlineStr">
        <is>
          <t>V</t>
        </is>
      </c>
      <c r="E106" t="inlineStr">
        <is>
          <t>LONG</t>
        </is>
      </c>
      <c r="F106" t="n">
        <v>16</v>
      </c>
      <c r="G106" t="n">
        <v>321.83</v>
      </c>
      <c r="H106" t="n">
        <v>328.17</v>
      </c>
      <c r="I106" t="n">
        <v>5149.28</v>
      </c>
      <c r="J106" t="n">
        <v>5250.72</v>
      </c>
      <c r="K106">
        <f>J106-I106</f>
        <v/>
      </c>
      <c r="L106" t="n">
        <v>2</v>
      </c>
      <c r="M106">
        <f>K106-L106</f>
        <v/>
      </c>
      <c r="N106">
        <f>M106/I106</f>
        <v/>
      </c>
      <c r="O106" t="n">
        <v>8</v>
      </c>
      <c r="P106">
        <f>IF(M106&gt;0,"Win","Loss")</f>
        <v/>
      </c>
      <c r="Q106" t="inlineStr">
        <is>
          <t>VPVMA</t>
        </is>
      </c>
      <c r="R106" t="inlineStr">
        <is>
          <t>BULL</t>
        </is>
      </c>
      <c r="S106" t="inlineStr">
        <is>
          <t>Signal</t>
        </is>
      </c>
    </row>
    <row r="107">
      <c r="B107" s="9" t="n">
        <v>46057</v>
      </c>
      <c r="C107" s="9" t="n">
        <v>46064.58614893519</v>
      </c>
      <c r="D107" t="inlineStr">
        <is>
          <t>AVGO</t>
        </is>
      </c>
      <c r="E107" t="inlineStr">
        <is>
          <t>LONG</t>
        </is>
      </c>
      <c r="F107" t="n">
        <v>16</v>
      </c>
      <c r="G107" t="n">
        <v>320.33</v>
      </c>
      <c r="H107" t="n">
        <v>340.44</v>
      </c>
      <c r="I107" t="n">
        <v>5125.28</v>
      </c>
      <c r="J107" t="n">
        <v>5447.04</v>
      </c>
      <c r="K107">
        <f>J107-I107</f>
        <v/>
      </c>
      <c r="L107" t="n">
        <v>2</v>
      </c>
      <c r="M107">
        <f>K107-L107</f>
        <v/>
      </c>
      <c r="N107">
        <f>M107/I107</f>
        <v/>
      </c>
      <c r="O107" t="n">
        <v>7</v>
      </c>
      <c r="P107">
        <f>IF(M107&gt;0,"Win","Loss")</f>
        <v/>
      </c>
      <c r="Q107" t="inlineStr">
        <is>
          <t>VPVMA</t>
        </is>
      </c>
      <c r="R107" t="inlineStr">
        <is>
          <t>BULL</t>
        </is>
      </c>
      <c r="S107" t="inlineStr">
        <is>
          <t>Signal</t>
        </is>
      </c>
    </row>
    <row r="108">
      <c r="B108" s="9" t="n">
        <v>46034</v>
      </c>
      <c r="C108" s="9" t="n">
        <v>46072.64493418981</v>
      </c>
      <c r="D108" t="inlineStr">
        <is>
          <t>SOXL</t>
        </is>
      </c>
      <c r="E108" t="inlineStr">
        <is>
          <t>LONG</t>
        </is>
      </c>
      <c r="F108" t="n">
        <v>95</v>
      </c>
      <c r="G108" t="n">
        <v>53.95</v>
      </c>
      <c r="H108" t="n">
        <v>66.29000000000001</v>
      </c>
      <c r="I108" t="n">
        <v>5125.25</v>
      </c>
      <c r="J108" t="n">
        <v>6297.55</v>
      </c>
      <c r="K108">
        <f>J108-I108</f>
        <v/>
      </c>
      <c r="L108" t="n">
        <v>2</v>
      </c>
      <c r="M108">
        <f>K108-L108</f>
        <v/>
      </c>
      <c r="N108">
        <f>M108/I108</f>
        <v/>
      </c>
      <c r="O108" t="n">
        <v>38</v>
      </c>
      <c r="P108">
        <f>IF(M108&gt;0,"Win","Loss")</f>
        <v/>
      </c>
      <c r="Q108" t="inlineStr">
        <is>
          <t>VPVMA</t>
        </is>
      </c>
      <c r="R108" t="inlineStr">
        <is>
          <t>BULL</t>
        </is>
      </c>
      <c r="S108" t="inlineStr">
        <is>
          <t>Signal</t>
        </is>
      </c>
    </row>
    <row r="109">
      <c r="B109" s="9" t="n">
        <v>46043</v>
      </c>
      <c r="C109" s="9" t="n">
        <v>46086.53839304398</v>
      </c>
      <c r="D109" t="inlineStr">
        <is>
          <t>TNA</t>
        </is>
      </c>
      <c r="E109" t="inlineStr">
        <is>
          <t>LONG</t>
        </is>
      </c>
      <c r="F109" t="n">
        <v>93</v>
      </c>
      <c r="G109" t="n">
        <v>54.745</v>
      </c>
      <c r="H109" t="n">
        <v>52.82</v>
      </c>
      <c r="I109" t="n">
        <v>5091.285</v>
      </c>
      <c r="J109" t="n">
        <v>4912.26</v>
      </c>
      <c r="K109">
        <f>J109-I109</f>
        <v/>
      </c>
      <c r="L109" t="n">
        <v>2</v>
      </c>
      <c r="M109">
        <f>K109-L109</f>
        <v/>
      </c>
      <c r="N109">
        <f>M109/I109</f>
        <v/>
      </c>
      <c r="O109" t="n">
        <v>43</v>
      </c>
      <c r="P109">
        <f>IF(M109&gt;0,"Win","Loss")</f>
        <v/>
      </c>
      <c r="Q109" t="inlineStr">
        <is>
          <t>VPVMA</t>
        </is>
      </c>
      <c r="R109" t="inlineStr">
        <is>
          <t>BULL</t>
        </is>
      </c>
      <c r="S109" t="inlineStr">
        <is>
          <t>Signal</t>
        </is>
      </c>
    </row>
    <row r="110">
      <c r="B110" s="9" t="n">
        <v>46064</v>
      </c>
      <c r="C110" s="9" t="n">
        <v>46087.56565171296</v>
      </c>
      <c r="D110" t="inlineStr">
        <is>
          <t>FAS</t>
        </is>
      </c>
      <c r="E110" t="inlineStr">
        <is>
          <t>LONG</t>
        </is>
      </c>
      <c r="F110" t="n">
        <v>35</v>
      </c>
      <c r="G110" t="n">
        <v>154.19</v>
      </c>
      <c r="H110" t="n">
        <v>133</v>
      </c>
      <c r="I110" t="n">
        <v>5396.65</v>
      </c>
      <c r="J110" t="n">
        <v>4655</v>
      </c>
      <c r="K110">
        <f>J110-I110</f>
        <v/>
      </c>
      <c r="L110" t="n">
        <v>2</v>
      </c>
      <c r="M110">
        <f>K110-L110</f>
        <v/>
      </c>
      <c r="N110">
        <f>M110/I110</f>
        <v/>
      </c>
      <c r="O110" t="n">
        <v>23</v>
      </c>
      <c r="P110">
        <f>IF(M110&gt;0,"Win","Loss")</f>
        <v/>
      </c>
      <c r="Q110" t="inlineStr">
        <is>
          <t>VPVMA</t>
        </is>
      </c>
      <c r="R110" t="inlineStr">
        <is>
          <t>BULL</t>
        </is>
      </c>
      <c r="S110" t="inlineStr">
        <is>
          <t>Signal</t>
        </is>
      </c>
    </row>
    <row r="111">
      <c r="B111" s="9" t="n">
        <v>46044</v>
      </c>
      <c r="C111" s="9" t="n">
        <v>46098.56915672454</v>
      </c>
      <c r="D111" t="inlineStr">
        <is>
          <t>GLD</t>
        </is>
      </c>
      <c r="E111" t="inlineStr">
        <is>
          <t>LONG</t>
        </is>
      </c>
      <c r="F111" t="n">
        <v>11</v>
      </c>
      <c r="G111" t="n">
        <v>443.6</v>
      </c>
      <c r="H111" t="n">
        <v>460.43</v>
      </c>
      <c r="I111" t="n">
        <v>4879.6</v>
      </c>
      <c r="J111" t="n">
        <v>5064.73</v>
      </c>
      <c r="K111">
        <f>J111-I111</f>
        <v/>
      </c>
      <c r="L111" t="n">
        <v>2</v>
      </c>
      <c r="M111">
        <f>K111-L111</f>
        <v/>
      </c>
      <c r="N111">
        <f>M111/I111</f>
        <v/>
      </c>
      <c r="O111" t="n">
        <v>54</v>
      </c>
      <c r="P111">
        <f>IF(M111&gt;0,"Win","Loss")</f>
        <v/>
      </c>
      <c r="Q111" t="inlineStr">
        <is>
          <t>VPVMA</t>
        </is>
      </c>
      <c r="R111" t="inlineStr">
        <is>
          <t>BULL</t>
        </is>
      </c>
      <c r="S111" t="inlineStr">
        <is>
          <t>Signal</t>
        </is>
      </c>
    </row>
    <row r="112">
      <c r="B112" s="9" t="n">
        <v>46097</v>
      </c>
      <c r="C112" s="9" t="n">
        <v>46098.56915744213</v>
      </c>
      <c r="D112" t="inlineStr">
        <is>
          <t>LABU</t>
        </is>
      </c>
      <c r="E112" t="inlineStr">
        <is>
          <t>LONG</t>
        </is>
      </c>
      <c r="F112" t="n">
        <v>35</v>
      </c>
      <c r="G112" t="n">
        <v>148.85</v>
      </c>
      <c r="H112" t="n">
        <v>156.24</v>
      </c>
      <c r="I112" t="n">
        <v>5209.75</v>
      </c>
      <c r="J112" t="n">
        <v>5468.400000000001</v>
      </c>
      <c r="K112">
        <f>J112-I112</f>
        <v/>
      </c>
      <c r="L112" t="n">
        <v>2</v>
      </c>
      <c r="M112">
        <f>K112-L112</f>
        <v/>
      </c>
      <c r="N112">
        <f>M112/I112</f>
        <v/>
      </c>
      <c r="O112" t="n">
        <v>1</v>
      </c>
      <c r="P112">
        <f>IF(M112&gt;0,"Win","Loss")</f>
        <v/>
      </c>
      <c r="Q112" t="inlineStr">
        <is>
          <t>VPVMA</t>
        </is>
      </c>
      <c r="R112" t="inlineStr">
        <is>
          <t>BULL</t>
        </is>
      </c>
      <c r="S112" t="inlineStr">
        <is>
          <t>Signal</t>
        </is>
      </c>
    </row>
    <row r="113">
      <c r="B113" s="9" t="n">
        <v>46036</v>
      </c>
      <c r="C113" s="9" t="n">
        <v>46098.88731337963</v>
      </c>
      <c r="D113" t="inlineStr">
        <is>
          <t>AMD</t>
        </is>
      </c>
      <c r="E113" t="inlineStr">
        <is>
          <t>LONG</t>
        </is>
      </c>
      <c r="F113" t="n">
        <v>23</v>
      </c>
      <c r="G113" t="n">
        <v>220.97</v>
      </c>
      <c r="H113" t="n">
        <v>196.15</v>
      </c>
      <c r="I113" t="n">
        <v>5082.31</v>
      </c>
      <c r="J113" t="n">
        <v>4511.45</v>
      </c>
      <c r="K113">
        <f>J113-I113</f>
        <v/>
      </c>
      <c r="L113" t="n">
        <v>2</v>
      </c>
      <c r="M113">
        <f>K113-L113</f>
        <v/>
      </c>
      <c r="N113">
        <f>M113/I113</f>
        <v/>
      </c>
      <c r="O113" t="n">
        <v>62</v>
      </c>
      <c r="P113">
        <f>IF(M113&gt;0,"Win","Loss")</f>
        <v/>
      </c>
      <c r="Q113" t="inlineStr">
        <is>
          <t>VPVMA</t>
        </is>
      </c>
      <c r="R113" t="inlineStr">
        <is>
          <t>BULL</t>
        </is>
      </c>
      <c r="S113" t="inlineStr">
        <is>
          <t>Signal</t>
        </is>
      </c>
    </row>
    <row r="114">
      <c r="B114" s="9" t="n">
        <v>46028</v>
      </c>
      <c r="C114" s="9" t="n">
        <v>46100.47062840278</v>
      </c>
      <c r="D114" t="inlineStr">
        <is>
          <t>ERX</t>
        </is>
      </c>
      <c r="E114" t="inlineStr">
        <is>
          <t>LONG</t>
        </is>
      </c>
      <c r="F114" t="n">
        <v>82</v>
      </c>
      <c r="G114" t="n">
        <v>61.35</v>
      </c>
      <c r="H114" t="n">
        <v>93.5</v>
      </c>
      <c r="I114" t="n">
        <v>5030.7</v>
      </c>
      <c r="J114" t="n">
        <v>7667</v>
      </c>
      <c r="K114">
        <f>J114-I114</f>
        <v/>
      </c>
      <c r="L114" t="n">
        <v>2</v>
      </c>
      <c r="M114">
        <f>K114-L114</f>
        <v/>
      </c>
      <c r="N114">
        <f>M114/I114</f>
        <v/>
      </c>
      <c r="O114" t="n">
        <v>72</v>
      </c>
      <c r="P114">
        <f>IF(M114&gt;0,"Win","Loss")</f>
        <v/>
      </c>
      <c r="Q114" t="inlineStr">
        <is>
          <t>VPVMA</t>
        </is>
      </c>
      <c r="R114" t="inlineStr">
        <is>
          <t>BULL</t>
        </is>
      </c>
      <c r="S114" t="inlineStr">
        <is>
          <t>Signal</t>
        </is>
      </c>
    </row>
    <row r="115">
      <c r="B115" s="9" t="n">
        <v>46042</v>
      </c>
      <c r="C115" s="9" t="n">
        <v>46100.47062850695</v>
      </c>
      <c r="D115" t="inlineStr">
        <is>
          <t>AAPL</t>
        </is>
      </c>
      <c r="E115" t="inlineStr">
        <is>
          <t>LONG</t>
        </is>
      </c>
      <c r="F115" t="n">
        <v>20</v>
      </c>
      <c r="G115" t="n">
        <v>243.95</v>
      </c>
      <c r="H115" t="n">
        <v>249.94</v>
      </c>
      <c r="I115" t="n">
        <v>4879</v>
      </c>
      <c r="J115" t="n">
        <v>4998.8</v>
      </c>
      <c r="K115">
        <f>J115-I115</f>
        <v/>
      </c>
      <c r="L115" t="n">
        <v>2</v>
      </c>
      <c r="M115">
        <f>K115-L115</f>
        <v/>
      </c>
      <c r="N115">
        <f>M115/I115</f>
        <v/>
      </c>
      <c r="O115" t="n">
        <v>58</v>
      </c>
      <c r="P115">
        <f>IF(M115&gt;0,"Win","Loss")</f>
        <v/>
      </c>
      <c r="Q115" t="inlineStr">
        <is>
          <t>VPVMA</t>
        </is>
      </c>
      <c r="R115" t="inlineStr">
        <is>
          <t>BULL</t>
        </is>
      </c>
      <c r="S115" t="inlineStr">
        <is>
          <t>Signal</t>
        </is>
      </c>
    </row>
    <row r="116">
      <c r="B116" s="9" t="n">
        <v>46044</v>
      </c>
      <c r="C116" s="9" t="n">
        <v>46100.47062856481</v>
      </c>
      <c r="D116" t="inlineStr">
        <is>
          <t>META</t>
        </is>
      </c>
      <c r="E116" t="inlineStr">
        <is>
          <t>LONG</t>
        </is>
      </c>
      <c r="F116" t="n">
        <v>8</v>
      </c>
      <c r="G116" t="n">
        <v>647.63</v>
      </c>
      <c r="H116" t="n">
        <v>615.6799999999999</v>
      </c>
      <c r="I116" t="n">
        <v>5181.04</v>
      </c>
      <c r="J116" t="n">
        <v>4925.44</v>
      </c>
      <c r="K116">
        <f>J116-I116</f>
        <v/>
      </c>
      <c r="L116" t="n">
        <v>2</v>
      </c>
      <c r="M116">
        <f>K116-L116</f>
        <v/>
      </c>
      <c r="N116">
        <f>M116/I116</f>
        <v/>
      </c>
      <c r="O116" t="n">
        <v>56</v>
      </c>
      <c r="P116">
        <f>IF(M116&gt;0,"Win","Loss")</f>
        <v/>
      </c>
      <c r="Q116" t="inlineStr">
        <is>
          <t>VPVMA</t>
        </is>
      </c>
      <c r="R116" t="inlineStr">
        <is>
          <t>BULL</t>
        </is>
      </c>
      <c r="S116" t="inlineStr">
        <is>
          <t>Signal</t>
        </is>
      </c>
    </row>
    <row r="117">
      <c r="B117" s="9" t="n">
        <v>46097</v>
      </c>
      <c r="C117" s="9" t="n">
        <v>46107.50928837963</v>
      </c>
      <c r="D117" t="inlineStr">
        <is>
          <t>UGL</t>
        </is>
      </c>
      <c r="E117" t="inlineStr">
        <is>
          <t>LONG</t>
        </is>
      </c>
      <c r="F117" t="n">
        <v>72</v>
      </c>
      <c r="G117" t="n">
        <v>71.48</v>
      </c>
      <c r="H117" t="n">
        <v>57.71</v>
      </c>
      <c r="I117" t="n">
        <v>5146.56</v>
      </c>
      <c r="J117" t="n">
        <v>4155.12</v>
      </c>
      <c r="K117">
        <f>J117-I117</f>
        <v/>
      </c>
      <c r="L117" t="n">
        <v>2</v>
      </c>
      <c r="M117">
        <f>K117-L117</f>
        <v/>
      </c>
      <c r="N117">
        <f>M117/I117</f>
        <v/>
      </c>
      <c r="O117" t="n">
        <v>10</v>
      </c>
      <c r="P117">
        <f>IF(M117&gt;0,"Win","Loss")</f>
        <v/>
      </c>
      <c r="Q117" t="inlineStr">
        <is>
          <t>VPVMA</t>
        </is>
      </c>
      <c r="R117" t="inlineStr">
        <is>
          <t>BULL</t>
        </is>
      </c>
      <c r="S117" t="inlineStr">
        <is>
          <t>Signal</t>
        </is>
      </c>
    </row>
    <row r="118">
      <c r="B118" s="9" t="n">
        <v>46063</v>
      </c>
      <c r="C118" s="9" t="n">
        <v>46134.64725333334</v>
      </c>
      <c r="D118" t="inlineStr">
        <is>
          <t>NFLX</t>
        </is>
      </c>
      <c r="E118" t="inlineStr">
        <is>
          <t>LONG</t>
        </is>
      </c>
      <c r="F118" t="n">
        <v>65</v>
      </c>
      <c r="G118" t="n">
        <v>82.20999999999999</v>
      </c>
      <c r="H118" t="n">
        <v>92.58</v>
      </c>
      <c r="I118" t="n">
        <v>5343.65</v>
      </c>
      <c r="J118" t="n">
        <v>6017.7</v>
      </c>
      <c r="K118">
        <f>J118-I118</f>
        <v/>
      </c>
      <c r="L118" t="n">
        <v>2</v>
      </c>
      <c r="M118">
        <f>K118-L118</f>
        <v/>
      </c>
      <c r="N118">
        <f>M118/I118</f>
        <v/>
      </c>
      <c r="O118" t="n">
        <v>71</v>
      </c>
      <c r="P118">
        <f>IF(M118&gt;0,"Win","Loss")</f>
        <v/>
      </c>
      <c r="Q118" t="inlineStr">
        <is>
          <t>VPVMA</t>
        </is>
      </c>
      <c r="R118" t="inlineStr">
        <is>
          <t>BULL</t>
        </is>
      </c>
      <c r="S118" t="inlineStr">
        <is>
          <t>Universe Drop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opLeftCell="A3" workbookViewId="0">
      <selection activeCell="A1" sqref="A1"/>
    </sheetView>
  </sheetViews>
  <sheetFormatPr baseColWidth="8" defaultRowHeight="14.4"/>
  <cols>
    <col width="22" customWidth="1" min="1" max="1"/>
    <col width="15" customWidth="1" min="2" max="2"/>
  </cols>
  <sheetData>
    <row r="1" ht="21" customHeight="1">
      <c r="A1" s="7" t="inlineStr">
        <is>
          <t>Portfolio Dashboard</t>
        </is>
      </c>
    </row>
    <row r="3">
      <c r="A3" s="8" t="inlineStr">
        <is>
          <t>Initial Capital:</t>
        </is>
      </c>
      <c r="B3" s="4" t="n">
        <v>100000</v>
      </c>
    </row>
    <row r="4">
      <c r="A4" s="8" t="inlineStr">
        <is>
          <t>Total Realized P&amp;L:</t>
        </is>
      </c>
      <c r="B4" s="4">
        <f>SUM('Trade Log'!M:M)</f>
        <v/>
      </c>
    </row>
    <row r="5">
      <c r="A5" s="8" t="inlineStr">
        <is>
          <t>Available Cash:</t>
        </is>
      </c>
      <c r="B5" s="4" t="n">
        <v>90568.98</v>
      </c>
    </row>
    <row r="7" ht="18" customHeight="1">
      <c r="A7" s="3" t="inlineStr">
        <is>
          <t>Trading Statistics</t>
        </is>
      </c>
    </row>
    <row r="8">
      <c r="A8" t="inlineStr">
        <is>
          <t>Total Trades:</t>
        </is>
      </c>
      <c r="B8">
        <f>COUNTA('Trade Log'!D:D)-1</f>
        <v/>
      </c>
    </row>
    <row r="9">
      <c r="A9" t="inlineStr">
        <is>
          <t>Winning Trades:</t>
        </is>
      </c>
      <c r="B9">
        <f>COUNTIF('Trade Log'!M:M,"&gt;0")</f>
        <v/>
      </c>
    </row>
    <row r="10">
      <c r="A10" t="inlineStr">
        <is>
          <t>Losing Trades:</t>
        </is>
      </c>
      <c r="B10">
        <f>COUNTIF('Trade Log'!M:M,"&lt;0")</f>
        <v/>
      </c>
    </row>
    <row r="11">
      <c r="A11" t="inlineStr">
        <is>
          <t>Win Rate:</t>
        </is>
      </c>
      <c r="B11" s="5">
        <f>COUNTIF('Trade Log'!M:M,"&gt;0")/COUNTA('Trade Log'!M:M)</f>
        <v/>
      </c>
    </row>
    <row r="12">
      <c r="A12" t="inlineStr">
        <is>
          <t>Average Win:</t>
        </is>
      </c>
      <c r="B12" s="4">
        <f>AVERAGEIF('Trade Log'!M:M,"&gt;0")</f>
        <v/>
      </c>
    </row>
    <row r="13">
      <c r="A13" t="inlineStr">
        <is>
          <t>Average Loss:</t>
        </is>
      </c>
      <c r="B13" s="4">
        <f>AVERAGEIF('Trade Log'!M:M,"&lt;0")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topLeftCell="A7" workbookViewId="0">
      <selection activeCell="A1" sqref="A1"/>
    </sheetView>
  </sheetViews>
  <sheetFormatPr baseColWidth="8" defaultRowHeight="14.4"/>
  <cols>
    <col width="16.5546875" customWidth="1" min="3" max="3"/>
    <col width="27.5546875" customWidth="1" min="5" max="5"/>
    <col width="20.6640625" customWidth="1" min="6" max="6"/>
    <col width="19.88671875" customWidth="1" min="7" max="7"/>
    <col width="20.109375" customWidth="1" min="8" max="8"/>
  </cols>
  <sheetData>
    <row r="1">
      <c r="A1" s="6" t="inlineStr">
        <is>
          <t>Symbol</t>
        </is>
      </c>
      <c r="B1" s="6" t="inlineStr">
        <is>
          <t>Shares</t>
        </is>
      </c>
      <c r="C1" s="6" t="inlineStr">
        <is>
          <t>Entry Price</t>
        </is>
      </c>
      <c r="D1" s="6" t="inlineStr">
        <is>
          <t>Entry Date</t>
        </is>
      </c>
      <c r="E1" s="6" t="inlineStr">
        <is>
          <t>Current Price</t>
        </is>
      </c>
      <c r="F1" s="6" t="inlineStr">
        <is>
          <t>Current Value</t>
        </is>
      </c>
      <c r="G1" s="6" t="inlineStr">
        <is>
          <t>Unrealized P&amp;L</t>
        </is>
      </c>
      <c r="H1" s="6" t="inlineStr">
        <is>
          <t>Unrealized %</t>
        </is>
      </c>
    </row>
    <row r="3">
      <c r="A3" t="inlineStr">
        <is>
          <t>FDX</t>
        </is>
      </c>
      <c r="B3" t="n">
        <v>17</v>
      </c>
      <c r="C3" t="n">
        <v>288.78</v>
      </c>
      <c r="D3" s="2" t="n">
        <v>46013</v>
      </c>
      <c r="E3" t="n">
        <v>385.95</v>
      </c>
      <c r="F3" t="n">
        <v>4909.259999999999</v>
      </c>
      <c r="G3" t="n">
        <v>6561.15</v>
      </c>
      <c r="H3" t="n">
        <v>1651.89</v>
      </c>
      <c r="I3" t="n">
        <v>0.3364845210887182</v>
      </c>
    </row>
    <row r="4">
      <c r="A4" t="inlineStr">
        <is>
          <t>MS</t>
        </is>
      </c>
      <c r="B4" t="n">
        <v>28</v>
      </c>
      <c r="C4" t="n">
        <v>176.98</v>
      </c>
      <c r="D4" s="2" t="n">
        <v>46013</v>
      </c>
      <c r="E4" t="n">
        <v>191.05</v>
      </c>
      <c r="F4" t="n">
        <v>4955.44</v>
      </c>
      <c r="G4" t="n">
        <v>5349.400000000001</v>
      </c>
      <c r="H4" t="n">
        <v>393.9600000000009</v>
      </c>
      <c r="I4" t="n">
        <v>0.07950050853203772</v>
      </c>
    </row>
    <row r="5">
      <c r="A5" t="inlineStr">
        <is>
          <t>INTC</t>
        </is>
      </c>
      <c r="B5" t="n">
        <v>138</v>
      </c>
      <c r="C5" t="n">
        <v>36.37</v>
      </c>
      <c r="D5" s="2" t="n">
        <v>46014</v>
      </c>
      <c r="E5" t="n">
        <v>65.27</v>
      </c>
      <c r="F5" t="n">
        <v>5019.059999999999</v>
      </c>
      <c r="G5" t="n">
        <v>9007.26</v>
      </c>
      <c r="H5" t="n">
        <v>3988.200000000001</v>
      </c>
      <c r="I5" t="n">
        <v>0.7946109430849602</v>
      </c>
    </row>
    <row r="6">
      <c r="A6" t="inlineStr">
        <is>
          <t>LMT</t>
        </is>
      </c>
      <c r="B6" t="n">
        <v>10</v>
      </c>
      <c r="C6" t="n">
        <v>497.07</v>
      </c>
      <c r="D6" s="2" t="n">
        <v>46027</v>
      </c>
      <c r="E6" t="n">
        <v>555.4299999999999</v>
      </c>
      <c r="F6" t="n">
        <v>4970.7</v>
      </c>
      <c r="G6" t="n">
        <v>5554.299999999999</v>
      </c>
      <c r="H6" t="n">
        <v>583.5999999999995</v>
      </c>
      <c r="I6" t="n">
        <v>0.1174080109441324</v>
      </c>
    </row>
    <row r="7">
      <c r="A7" t="inlineStr">
        <is>
          <t>GS</t>
        </is>
      </c>
      <c r="B7" t="n">
        <v>5</v>
      </c>
      <c r="C7" t="n">
        <v>914.34</v>
      </c>
      <c r="D7" s="2" t="n">
        <v>46027</v>
      </c>
      <c r="E7" t="n">
        <v>934.84</v>
      </c>
      <c r="F7" t="n">
        <v>4571.7</v>
      </c>
      <c r="G7" t="n">
        <v>4674.2</v>
      </c>
      <c r="H7" t="n">
        <v>102.5</v>
      </c>
      <c r="I7" t="n">
        <v>0.02242054378021296</v>
      </c>
    </row>
    <row r="8">
      <c r="A8" t="inlineStr">
        <is>
          <t>KO</t>
        </is>
      </c>
      <c r="B8" t="n">
        <v>73</v>
      </c>
      <c r="C8" t="n">
        <v>69.37</v>
      </c>
      <c r="D8" s="2" t="n">
        <v>46030</v>
      </c>
      <c r="E8" t="n">
        <v>74.63</v>
      </c>
      <c r="F8" t="n">
        <v>5064.01</v>
      </c>
      <c r="G8" t="n">
        <v>5447.99</v>
      </c>
      <c r="H8" t="n">
        <v>383.9799999999996</v>
      </c>
      <c r="I8" t="n">
        <v>0.07582528470520389</v>
      </c>
    </row>
    <row r="9">
      <c r="A9" t="inlineStr">
        <is>
          <t>PFE</t>
        </is>
      </c>
      <c r="B9" t="n">
        <v>199</v>
      </c>
      <c r="C9" t="n">
        <v>26.5</v>
      </c>
      <c r="D9" s="2" t="n">
        <v>46049</v>
      </c>
      <c r="E9" t="n">
        <v>26.8</v>
      </c>
      <c r="F9" t="n">
        <v>5273.5</v>
      </c>
      <c r="G9" t="n">
        <v>5333.2</v>
      </c>
      <c r="H9" t="n">
        <v>59.69999999999982</v>
      </c>
      <c r="I9" t="n">
        <v>0.01132075471698113</v>
      </c>
    </row>
    <row r="10">
      <c r="A10" t="inlineStr">
        <is>
          <t>NOW</t>
        </is>
      </c>
      <c r="B10" t="n">
        <v>41</v>
      </c>
      <c r="C10" t="n">
        <v>129.62</v>
      </c>
      <c r="D10" s="2" t="n">
        <v>46051</v>
      </c>
      <c r="E10" t="n">
        <v>103.07</v>
      </c>
      <c r="F10" t="n">
        <v>5314.42</v>
      </c>
      <c r="G10" t="n">
        <v>4225.87</v>
      </c>
      <c r="H10" t="n">
        <v>-1088.55</v>
      </c>
      <c r="I10" t="n">
        <v>-0.2048295016201205</v>
      </c>
    </row>
    <row r="11">
      <c r="A11" t="inlineStr">
        <is>
          <t>PEP</t>
        </is>
      </c>
      <c r="B11" t="n">
        <v>34</v>
      </c>
      <c r="C11" t="n">
        <v>153.63</v>
      </c>
      <c r="D11" s="2" t="n">
        <v>46055</v>
      </c>
      <c r="E11" t="n">
        <v>153.79</v>
      </c>
      <c r="F11" t="n">
        <v>5223.42</v>
      </c>
      <c r="G11" t="n">
        <v>5228.86</v>
      </c>
      <c r="H11" t="n">
        <v>5.4399999999996</v>
      </c>
      <c r="I11" t="n">
        <v>0.001041463255874397</v>
      </c>
    </row>
    <row r="12">
      <c r="A12" t="inlineStr">
        <is>
          <t>C</t>
        </is>
      </c>
      <c r="B12" t="n">
        <v>44</v>
      </c>
      <c r="C12" t="n">
        <v>122.15</v>
      </c>
      <c r="D12" s="2" t="n">
        <v>46063</v>
      </c>
      <c r="E12" t="n">
        <v>129.73</v>
      </c>
      <c r="F12" t="n">
        <v>5374.6</v>
      </c>
      <c r="G12" t="n">
        <v>5708.12</v>
      </c>
      <c r="H12" t="n">
        <v>333.5199999999995</v>
      </c>
      <c r="I12" t="n">
        <v>0.06205485059353233</v>
      </c>
    </row>
    <row r="13">
      <c r="A13" t="inlineStr">
        <is>
          <t>TMF</t>
        </is>
      </c>
      <c r="B13" t="n">
        <v>132</v>
      </c>
      <c r="C13" t="n">
        <v>40.01</v>
      </c>
      <c r="D13" s="2" t="n">
        <v>46076</v>
      </c>
      <c r="E13" t="n">
        <v>36.28</v>
      </c>
      <c r="F13" t="n">
        <v>5281.32</v>
      </c>
      <c r="G13" t="n">
        <v>4788.96</v>
      </c>
      <c r="H13" t="n">
        <v>-492.3599999999997</v>
      </c>
      <c r="I13" t="n">
        <v>-0.09322669332666822</v>
      </c>
    </row>
    <row r="14">
      <c r="A14" t="inlineStr">
        <is>
          <t>GOOGL</t>
        </is>
      </c>
      <c r="B14" t="n">
        <v>17</v>
      </c>
      <c r="C14" t="n">
        <v>307.9</v>
      </c>
      <c r="D14" s="2" t="n">
        <v>46098</v>
      </c>
      <c r="E14" t="n">
        <v>339.32</v>
      </c>
      <c r="F14" t="n">
        <v>5234.299999999999</v>
      </c>
      <c r="G14" t="n">
        <v>5768.44</v>
      </c>
      <c r="H14" t="n">
        <v>534.1400000000003</v>
      </c>
      <c r="I14" t="n">
        <v>0.102046118869763</v>
      </c>
    </row>
    <row r="15">
      <c r="A15" t="inlineStr">
        <is>
          <t>AVGO</t>
        </is>
      </c>
      <c r="B15" t="n">
        <v>16</v>
      </c>
      <c r="C15" t="n">
        <v>320.995</v>
      </c>
      <c r="D15" s="2" t="n">
        <v>46098</v>
      </c>
      <c r="E15" t="n">
        <v>422.65</v>
      </c>
      <c r="F15" t="n">
        <v>5135.92</v>
      </c>
      <c r="G15" t="n">
        <v>6762.4</v>
      </c>
      <c r="H15" t="n">
        <v>1626.48</v>
      </c>
      <c r="I15" t="n">
        <v>0.3166871758127072</v>
      </c>
    </row>
    <row r="16">
      <c r="A16" t="inlineStr">
        <is>
          <t>ABBV</t>
        </is>
      </c>
      <c r="B16" t="n">
        <v>25</v>
      </c>
      <c r="C16" t="n">
        <v>208.34</v>
      </c>
      <c r="D16" s="2" t="n">
        <v>46100</v>
      </c>
      <c r="E16" t="n">
        <v>200.5</v>
      </c>
      <c r="F16" t="n">
        <v>5208.5</v>
      </c>
      <c r="G16" t="n">
        <v>5012.5</v>
      </c>
      <c r="H16" t="n">
        <v>-196</v>
      </c>
      <c r="I16" t="n">
        <v>-0.03763079581453399</v>
      </c>
    </row>
    <row r="17">
      <c r="A17" t="inlineStr">
        <is>
          <t>MCD</t>
        </is>
      </c>
      <c r="B17" t="n">
        <v>16</v>
      </c>
      <c r="C17" t="n">
        <v>315.73</v>
      </c>
      <c r="D17" s="2" t="n">
        <v>46100</v>
      </c>
      <c r="E17" t="n">
        <v>300.07</v>
      </c>
      <c r="F17" t="n">
        <v>5051.68</v>
      </c>
      <c r="G17" t="n">
        <v>4801.12</v>
      </c>
      <c r="H17" t="n">
        <v>-250.5600000000004</v>
      </c>
      <c r="I17" t="n">
        <v>-0.04959934120926112</v>
      </c>
    </row>
    <row r="18">
      <c r="A18" t="inlineStr">
        <is>
          <t>V</t>
        </is>
      </c>
      <c r="B18" t="n">
        <v>17</v>
      </c>
      <c r="C18" t="n">
        <v>299.02</v>
      </c>
      <c r="D18" s="2" t="n">
        <v>46100</v>
      </c>
      <c r="E18" t="n">
        <v>311.29</v>
      </c>
      <c r="F18" t="n">
        <v>5083.34</v>
      </c>
      <c r="G18" t="n">
        <v>5291.93</v>
      </c>
      <c r="H18" t="n">
        <v>208.5900000000001</v>
      </c>
      <c r="I18" t="n">
        <v>0.04103404454551551</v>
      </c>
    </row>
    <row r="19">
      <c r="A19" t="inlineStr">
        <is>
          <t>ADBE</t>
        </is>
      </c>
      <c r="B19" t="n">
        <v>21</v>
      </c>
      <c r="C19" t="n">
        <v>246</v>
      </c>
      <c r="D19" s="2" t="n">
        <v>46100</v>
      </c>
      <c r="E19" t="n">
        <v>255.94</v>
      </c>
      <c r="F19" t="n">
        <v>5166</v>
      </c>
      <c r="G19" t="n">
        <v>5374.74</v>
      </c>
      <c r="H19" t="n">
        <v>208.7399999999998</v>
      </c>
      <c r="I19" t="n">
        <v>0.04040650406504054</v>
      </c>
    </row>
    <row r="20">
      <c r="A20" t="inlineStr">
        <is>
          <t>LABU</t>
        </is>
      </c>
      <c r="B20" t="n">
        <v>32</v>
      </c>
      <c r="C20" t="n">
        <v>154.9</v>
      </c>
      <c r="D20" s="2" t="n">
        <v>46107</v>
      </c>
      <c r="E20" t="n">
        <v>204.13</v>
      </c>
      <c r="F20" t="n">
        <v>4956.8</v>
      </c>
      <c r="G20" t="n">
        <v>6532.16</v>
      </c>
      <c r="H20" t="n">
        <v>1575.36</v>
      </c>
      <c r="I20" t="n">
        <v>0.317817947062621</v>
      </c>
    </row>
    <row r="21">
      <c r="D21" s="2" t="n"/>
    </row>
    <row r="22">
      <c r="D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2025-11-28T17:07:47Z</dcterms:created>
  <dcterms:modified xsi:type="dcterms:W3CDTF">2026-04-23T19:28:27Z</dcterms:modified>
  <cp:lastModifiedBy>Fox, Brady</cp:lastModifiedBy>
</cp:coreProperties>
</file>